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Raw_Sheet" sheetId="2" r:id="rId6"/>
    <sheet state="visible" name="Cleaned_Data" sheetId="3" r:id="rId7"/>
    <sheet state="visible" name="Analysis" sheetId="4" r:id="rId8"/>
    <sheet state="visible" name="Vizualizations" sheetId="5" r:id="rId9"/>
    <sheet state="visible" name="Sources" sheetId="6" r:id="rId10"/>
  </sheets>
  <definedNames/>
  <calcPr/>
</workbook>
</file>

<file path=xl/sharedStrings.xml><?xml version="1.0" encoding="utf-8"?>
<sst xmlns="http://schemas.openxmlformats.org/spreadsheetml/2006/main" count="879" uniqueCount="241">
  <si>
    <t>UFO / UAP Sightings Log</t>
  </si>
  <si>
    <t>Business questions</t>
  </si>
  <si>
    <t>Workflow</t>
  </si>
  <si>
    <t>Which incidents remain unresolved?</t>
  </si>
  <si>
    <t>steps that i will take :</t>
  </si>
  <si>
    <t>Which locations appear most often?</t>
  </si>
  <si>
    <t>What explanations are most common?</t>
  </si>
  <si>
    <t>Identify questions</t>
  </si>
  <si>
    <t>Which incidents have the highest credibility?</t>
  </si>
  <si>
    <t>Collect and store data</t>
  </si>
  <si>
    <t>How many cases are open vs resolved?</t>
  </si>
  <si>
    <t>Clean and prepare data</t>
  </si>
  <si>
    <t>Are sightings concentrated in certain years or areas?</t>
  </si>
  <si>
    <t>Analyze data</t>
  </si>
  <si>
    <t>Visualize and communicate results</t>
  </si>
  <si>
    <t>Incident_ID</t>
  </si>
  <si>
    <t>Incident_Name</t>
  </si>
  <si>
    <t>Incident_Date</t>
  </si>
  <si>
    <t>Date_Precision</t>
  </si>
  <si>
    <t>Area_Group</t>
  </si>
  <si>
    <t>Location</t>
  </si>
  <si>
    <t>Reporting_Agency</t>
  </si>
  <si>
    <t>Source_Type</t>
  </si>
  <si>
    <t>Evidence_Type</t>
  </si>
  <si>
    <t>Status</t>
  </si>
  <si>
    <t>Likely_Explanation</t>
  </si>
  <si>
    <t>Official_Confidence</t>
  </si>
  <si>
    <t>Year</t>
  </si>
  <si>
    <t>Open_Case_Flag</t>
  </si>
  <si>
    <t>Credibility_Score</t>
  </si>
  <si>
    <t>Credibility_Rating</t>
  </si>
  <si>
    <t>Assessed_Altitude_ft</t>
  </si>
  <si>
    <t>Notes</t>
  </si>
  <si>
    <t>Source_URL</t>
  </si>
  <si>
    <t>UAP-001</t>
  </si>
  <si>
    <t>PR-001 Unresolved UAP Report</t>
  </si>
  <si>
    <t>Africa</t>
  </si>
  <si>
    <t>Africa 2022</t>
  </si>
  <si>
    <t>U.S. Africa Command / AARO</t>
  </si>
  <si>
    <t>Official imagery page</t>
  </si>
  <si>
    <t>Infrared</t>
  </si>
  <si>
    <t>Unresolved</t>
  </si>
  <si>
    <t>Unknown / insufficient data</t>
  </si>
  <si>
    <t>Unknown</t>
  </si>
  <si>
    <t>Heat signature possibly physical object; insufficient data for conclusive evaluation.</t>
  </si>
  <si>
    <t>https://www.aaro.mil/UAP-Cases/Official-UAP-Imagery/</t>
  </si>
  <si>
    <t>UAP-002</t>
  </si>
  <si>
    <t>PR-002 Resolved as Migratory Birds</t>
  </si>
  <si>
    <t>Africa 2024</t>
  </si>
  <si>
    <t>Resolved</t>
  </si>
  <si>
    <t>Migratory birds</t>
  </si>
  <si>
    <t>High</t>
  </si>
  <si>
    <t>High-confidence resolution to migratory birds aligned with known routes.</t>
  </si>
  <si>
    <t>UAP-003</t>
  </si>
  <si>
    <t>PR-004 Resolved as Balloon</t>
  </si>
  <si>
    <t>Europe</t>
  </si>
  <si>
    <t>Europe 2022</t>
  </si>
  <si>
    <t>U.S. European Command / AARO</t>
  </si>
  <si>
    <t>Balloon</t>
  </si>
  <si>
    <t>AARO assessed the object was almost certainly a balloon.</t>
  </si>
  <si>
    <t>UAP-004</t>
  </si>
  <si>
    <t>PR-005 Resolved as Balloon</t>
  </si>
  <si>
    <t>UAP-005</t>
  </si>
  <si>
    <t>PR-006 Resolved as Balloon</t>
  </si>
  <si>
    <t>UAP-006</t>
  </si>
  <si>
    <t>PR-007 Closed as Not Anomalous</t>
  </si>
  <si>
    <t>Not Anomalous</t>
  </si>
  <si>
    <t>Prosaic aircraft</t>
  </si>
  <si>
    <t>Object did not meet morphology/performance criteria for further anomalous analysis.</t>
  </si>
  <si>
    <t>UAP-007</t>
  </si>
  <si>
    <t>PR-008 Unresolved UAP Report</t>
  </si>
  <si>
    <t>Unknown / heat-signature ambiguity</t>
  </si>
  <si>
    <t>Possible physical source, thermal reflection, environmental differential, or sensor error.</t>
  </si>
  <si>
    <t>UAP-008</t>
  </si>
  <si>
    <t>PR-009 Resolved as Balloon</t>
  </si>
  <si>
    <t>UAP-009</t>
  </si>
  <si>
    <t>PR-010 Resolved as Balloon</t>
  </si>
  <si>
    <t>UAP-010</t>
  </si>
  <si>
    <t>PR-011 Under Analysis</t>
  </si>
  <si>
    <t>Europe 2021</t>
  </si>
  <si>
    <t>Under Analysis</t>
  </si>
  <si>
    <t>Physical object suggested by infrared contrast; analysis ongoing.</t>
  </si>
  <si>
    <t>UAP-011</t>
  </si>
  <si>
    <t>PR-012 Unresolved UAP Report</t>
  </si>
  <si>
    <t>Unknown physical object</t>
  </si>
  <si>
    <t>High-confidence assessment that footage depicts a physical object, but attribution remains open.</t>
  </si>
  <si>
    <t>UAP-012</t>
  </si>
  <si>
    <t>PR-013 Unresolved UAP Report</t>
  </si>
  <si>
    <t>UAP-013</t>
  </si>
  <si>
    <t>PR-014 Unresolved UAP Report</t>
  </si>
  <si>
    <t>UAP-014</t>
  </si>
  <si>
    <t>PR-015 Unresolved UAP Report</t>
  </si>
  <si>
    <t>UAP-015</t>
  </si>
  <si>
    <t>PR-016 Resolved as Birds</t>
  </si>
  <si>
    <t>Europe 2023</t>
  </si>
  <si>
    <t>Birds</t>
  </si>
  <si>
    <t>Objects almost certainly birds based on morphology and wing-beat-consistent behavior.</t>
  </si>
  <si>
    <t>UAP-016</t>
  </si>
  <si>
    <t>PR-017 Unresolved UAP Report</t>
  </si>
  <si>
    <t>Europe 2024</t>
  </si>
  <si>
    <t>Cell-phone video</t>
  </si>
  <si>
    <t>Unknown / insufficient video data</t>
  </si>
  <si>
    <t>Low</t>
  </si>
  <si>
    <t>Cell-phone footage was insufficient for a conclusive determination.</t>
  </si>
  <si>
    <t>UAP-017</t>
  </si>
  <si>
    <t>PR-018 Unresolved UAP Report</t>
  </si>
  <si>
    <t>Euope</t>
  </si>
  <si>
    <t>High-confidence assessment that footage depicts a physical object, but behavior was unremarkable.</t>
  </si>
  <si>
    <t>UAP-018</t>
  </si>
  <si>
    <t>Middle East Red Balloon</t>
  </si>
  <si>
    <t>Middle East</t>
  </si>
  <si>
    <t>Middle East 2024</t>
  </si>
  <si>
    <t>U.S. Military Service / AARO</t>
  </si>
  <si>
    <t>Full-motion video</t>
  </si>
  <si>
    <t>Reflective foil balloon</t>
  </si>
  <si>
    <t>AARO assessed the object was almost certainly a consumer-grade reflective foil balloon.</t>
  </si>
  <si>
    <t>UAP-019</t>
  </si>
  <si>
    <t>Middle East Unresolved UAP</t>
  </si>
  <si>
    <t>Unknown / artifact vs physical source</t>
  </si>
  <si>
    <t>Thermal contrast may indicate physical object, but telemetry and multi-modal data were lacking.</t>
  </si>
  <si>
    <t>UAP-020</t>
  </si>
  <si>
    <t>Middle East 2023</t>
  </si>
  <si>
    <t>UAP-021</t>
  </si>
  <si>
    <t>Al Taqaddum Object</t>
  </si>
  <si>
    <t>Day</t>
  </si>
  <si>
    <t>Al Taqaddum Air Base, Iraq</t>
  </si>
  <si>
    <t>AARO / DoD</t>
  </si>
  <si>
    <t>Case resolution report</t>
  </si>
  <si>
    <t>Cluster of balloons</t>
  </si>
  <si>
    <t>AARO assessed with high confidence the object was consistent with a cluster of balloons.</t>
  </si>
  <si>
    <t>https://www.aaro.mil/Portals/136/PDFs/case_resolution_reports/AARO_Al_Taqaddam_Case_Resolution_Final.pdf</t>
  </si>
  <si>
    <t>UAP-022</t>
  </si>
  <si>
    <t>Puerto Rico Object</t>
  </si>
  <si>
    <t>North America/Caribbean</t>
  </si>
  <si>
    <t>Puerto Rico</t>
  </si>
  <si>
    <t>U.S. Customs and Border Protection / AARO</t>
  </si>
  <si>
    <t>Pair of sky lanterns</t>
  </si>
  <si>
    <t>Moderate</t>
  </si>
  <si>
    <t>AARO assessed no anomalous behavior; moderate confidence objects were sky lanterns.</t>
  </si>
  <si>
    <t>https://www.aaro.mil/Portals/136/PDFs/case_resolution_reports/AARO_Puerto_Rico_UAP_Case_Resolution.pdf</t>
  </si>
  <si>
    <t>UAP-023</t>
  </si>
  <si>
    <t>GoFast</t>
  </si>
  <si>
    <t>Month</t>
  </si>
  <si>
    <t>Eastern coast of Florida</t>
  </si>
  <si>
    <t>U.S. Navy / AARO</t>
  </si>
  <si>
    <t>Forward Looking Infrared</t>
  </si>
  <si>
    <t>Unidentified object; no anomalous performance</t>
  </si>
  <si>
    <t>Hgh</t>
  </si>
  <si>
    <t>AARO could not identify the object, but assessed with high confidence it showed no anomalous performance.</t>
  </si>
  <si>
    <t>https://www.aaro.mil/Portals/136/PDFs/case_resolution_reports/AARO_GoFast_Case_Resolution_Card_Methodology_Final.pdf</t>
  </si>
  <si>
    <t>UAP-024</t>
  </si>
  <si>
    <t>Eglin UAP</t>
  </si>
  <si>
    <t>Near Eglin Air Force Base, Florida</t>
  </si>
  <si>
    <t>Military personnel / AARO</t>
  </si>
  <si>
    <t>Electro-optical, infrared, visual identification, and radar</t>
  </si>
  <si>
    <t>Lighter-than-air object / balloon</t>
  </si>
  <si>
    <t>Resolved with moderate confidence as a lighter-than-air object such as a commercial lighting balloon.</t>
  </si>
  <si>
    <t>https://www.aaro.mil/Portals/136/PDFs/case_resolution_reports/Case_Resolution_of_Eglin_UAP_2_508_.pdf</t>
  </si>
  <si>
    <t>UAP-025</t>
  </si>
  <si>
    <t>Atmospheric Wakes</t>
  </si>
  <si>
    <t>Range</t>
  </si>
  <si>
    <t>Multi-Region</t>
  </si>
  <si>
    <t>Middle East and Mediterranean Sea</t>
  </si>
  <si>
    <t>Theater UAV operators / AARO</t>
  </si>
  <si>
    <t>Sensor artifact / prosaic aircraft</t>
  </si>
  <si>
    <t>Three cases resolved as prosaic aircraft plus sensor artifacts rather than anomalous propulsion.</t>
  </si>
  <si>
    <t>https://www.aaro.mil/Portals/136/PDFs/case_resolution_reports/Case_Resolution_of_Atmospheric_Wakes_508-02262024.pdf</t>
  </si>
  <si>
    <t>UAP-026</t>
  </si>
  <si>
    <t>Southeast Asia Triangles</t>
  </si>
  <si>
    <t>Asia-Pacific</t>
  </si>
  <si>
    <t>Southeast Asia</t>
  </si>
  <si>
    <t>Intelligence Community member / AARO</t>
  </si>
  <si>
    <t>Satellite imagery</t>
  </si>
  <si>
    <t>Fishing nets</t>
  </si>
  <si>
    <t>Objects were almost certainly static fishing nets on the ocean surface.</t>
  </si>
  <si>
    <t>https://www.aaro.mil/Portals/136/PDFs/case_resolution_reports/Case_Resolution_of_Southeast_Asia_Triangles_508-02262024.pdf</t>
  </si>
  <si>
    <t>UAP-027</t>
  </si>
  <si>
    <t>Western United States</t>
  </si>
  <si>
    <t>Western United States military airspace</t>
  </si>
  <si>
    <t>Commercial aircraft</t>
  </si>
  <si>
    <t>Equidistant lights correlated with commercial aircraft on established air corridors.</t>
  </si>
  <si>
    <t>https://www.aaro.mil/Portals/136/PDFs/case_resolution_reports/Case_Resolution_of_Western_United_States_Uap_508-02262024.pdf</t>
  </si>
  <si>
    <t>UAP-028</t>
  </si>
  <si>
    <t>Mt. Etna Object</t>
  </si>
  <si>
    <t>Mt. Etna, Italy</t>
  </si>
  <si>
    <t>U.S. military UAS operators / AARO</t>
  </si>
  <si>
    <t>Shortwave infrared</t>
  </si>
  <si>
    <t>Moderate confidence balloon; high confidence no anomalous performance.</t>
  </si>
  <si>
    <t>https://www.aaro.mil/Portals/136/PDFs/case_resolution_reports/Mt-Etna-Object.pdf</t>
  </si>
  <si>
    <r>
      <rPr>
        <rFont val="Calibri"/>
        <color rgb="FF1155CC"/>
        <sz val="11.0"/>
        <u/>
      </rPr>
      <t>https://www.aaro.mil/UAP-Cases/Official-UAP-Imagery/</t>
    </r>
    <r>
      <rPr>
        <rFont val="Calibri"/>
        <color rgb="FF000000"/>
        <sz val="11.0"/>
      </rPr>
      <t xml:space="preserve"> </t>
    </r>
  </si>
  <si>
    <r>
      <rPr>
        <rFont val="Calibri"/>
        <color rgb="FF1155CC"/>
        <sz val="11.0"/>
        <u/>
      </rPr>
      <t>https://www.aaro.mil/UAP-Cases/Official-UAP-Imagery/</t>
    </r>
    <r>
      <rPr>
        <rFont val="Calibri"/>
        <color rgb="FF000000"/>
        <sz val="11.0"/>
      </rPr>
      <t xml:space="preserve"> </t>
    </r>
  </si>
  <si>
    <r>
      <rPr>
        <rFont val="Calibri"/>
        <color rgb="FF1155CC"/>
        <sz val="11.0"/>
        <u/>
      </rPr>
      <t>https://www.aaro.mil/UAP-Cases/Official-UAP-Imagery/</t>
    </r>
    <r>
      <rPr>
        <rFont val="Calibri"/>
        <color rgb="FF000000"/>
        <sz val="11.0"/>
      </rPr>
      <t xml:space="preserve"> </t>
    </r>
  </si>
  <si>
    <r>
      <rPr>
        <rFont val="Calibri"/>
        <color rgb="FF1155CC"/>
        <sz val="11.0"/>
        <u/>
      </rPr>
      <t>https://www.aaro.mil/UAP-Cases/Official-UAP-Imagery/</t>
    </r>
    <r>
      <rPr>
        <rFont val="Calibri"/>
        <color rgb="FF000000"/>
        <sz val="11.0"/>
      </rPr>
      <t xml:space="preserve"> </t>
    </r>
  </si>
  <si>
    <r>
      <rPr>
        <rFont val="Calibri"/>
        <color rgb="FF1155CC"/>
        <sz val="11.0"/>
        <u/>
      </rPr>
      <t>https://www.aaro.mil/UAP-Cases/Official-UAP-Imagery/</t>
    </r>
    <r>
      <rPr>
        <rFont val="Calibri"/>
        <color rgb="FF000000"/>
        <sz val="11.0"/>
      </rPr>
      <t xml:space="preserve"> </t>
    </r>
  </si>
  <si>
    <r>
      <rPr>
        <rFont val="Calibri"/>
        <color rgb="FF1155CC"/>
        <sz val="11.0"/>
        <u/>
      </rPr>
      <t>https://www.aaro.mil/UAP-Cases/Official-UAP-Imagery/</t>
    </r>
    <r>
      <rPr>
        <rFont val="Calibri"/>
        <color rgb="FF000000"/>
        <sz val="11.0"/>
      </rPr>
      <t xml:space="preserve"> </t>
    </r>
  </si>
  <si>
    <r>
      <rPr>
        <rFont val="Calibri"/>
        <color rgb="FF1155CC"/>
        <sz val="11.0"/>
        <u/>
      </rPr>
      <t>https://www.aaro.mil/UAP-Cases/Official-UAP-Imagery/</t>
    </r>
    <r>
      <rPr>
        <rFont val="Calibri"/>
        <color rgb="FF000000"/>
        <sz val="11.0"/>
      </rPr>
      <t xml:space="preserve"> </t>
    </r>
  </si>
  <si>
    <r>
      <rPr>
        <rFont val="Calibri"/>
        <color rgb="FF1155CC"/>
        <sz val="11.0"/>
        <u/>
      </rPr>
      <t>https://www.aaro.mil/UAP-Cases/Official-UAP-Imagery/</t>
    </r>
    <r>
      <rPr>
        <rFont val="Calibri"/>
        <color rgb="FF000000"/>
        <sz val="11.0"/>
      </rPr>
      <t xml:space="preserve"> </t>
    </r>
  </si>
  <si>
    <t>Analysis</t>
  </si>
  <si>
    <t>Total incidents</t>
  </si>
  <si>
    <t>Open cases</t>
  </si>
  <si>
    <t>Resolved / not anomalous</t>
  </si>
  <si>
    <t>Avg. credibility score</t>
  </si>
  <si>
    <t>Status summary</t>
  </si>
  <si>
    <t>Area summary</t>
  </si>
  <si>
    <t>Count</t>
  </si>
  <si>
    <t>Avg Score</t>
  </si>
  <si>
    <t>Likely explanation summary</t>
  </si>
  <si>
    <t>Incidents by year</t>
  </si>
  <si>
    <t>Explanation</t>
  </si>
  <si>
    <t>Open</t>
  </si>
  <si>
    <t>Visualizations</t>
  </si>
  <si>
    <t>Sources</t>
  </si>
  <si>
    <t>Source</t>
  </si>
  <si>
    <t>Why it matters</t>
  </si>
  <si>
    <t>URL</t>
  </si>
  <si>
    <t>AARO Official UAP Imagery</t>
  </si>
  <si>
    <t>Row-level public incident cards for PR-001 to PR-018 and Middle East examples</t>
  </si>
  <si>
    <t>Used for many 2021-2024 official imagery incidents</t>
  </si>
  <si>
    <t>AARO Case Resolution Reports page</t>
  </si>
  <si>
    <t>Index page for official case-resolution documents</t>
  </si>
  <si>
    <t>https://www.aaro.mil/UAP-Cases/UAP-Case-Resolution-Reports/</t>
  </si>
  <si>
    <t>Used to source deeper case studies</t>
  </si>
  <si>
    <t>ODNI / DoD FY2024 consolidated UAP report</t>
  </si>
  <si>
    <t>Official report with totals and context (757 reports; 1,652 total under review; no extraterrestrial evidence)</t>
  </si>
  <si>
    <t>https://www.dni.gov/files/ODNI/documents/assessments/DOD-AARO-Consolidated-Annual-Report-on-UAP-Nov2024.pdf</t>
  </si>
  <si>
    <t>Useful for README context</t>
  </si>
  <si>
    <t>DoD statement on historical Navy videos</t>
  </si>
  <si>
    <t>Confirms official release of 2004/2015 Navy videos in 2020</t>
  </si>
  <si>
    <t>https://www.defense.gov/News/Releases/Release/Article/2165713/statement-by-the-department-of-defense-on-the-release-of-historical-navy-videos/</t>
  </si>
  <si>
    <t>Supports the public-history context around Navy cases</t>
  </si>
  <si>
    <t>AARO GoFast case resolution</t>
  </si>
  <si>
    <t>Official case-resolution PDF</t>
  </si>
  <si>
    <t>Location: eastern coast of Florida; date: January 2015</t>
  </si>
  <si>
    <t>AARO Puerto Rico case resolution</t>
  </si>
  <si>
    <t>Location: Puerto Rico; date: April 26, 2013</t>
  </si>
  <si>
    <t>AARO Al Taqaddum case resolution</t>
  </si>
  <si>
    <t>Location: Iraq; date: October 23, 2017</t>
  </si>
  <si>
    <t>AARO Eglin case resolution</t>
  </si>
  <si>
    <t>Location: near Eglin AFB, Florida; date: January 26, 2023</t>
  </si>
  <si>
    <t>AARO Mt. Etna case resolution</t>
  </si>
  <si>
    <t>Location: Mt. Etna, Italy; date: December 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</si>
</sst>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8.0"/>
      <color rgb="FFFFFFFF"/>
      <name val="Calibri"/>
    </font>
    <font/>
    <font>
      <b/>
      <sz val="14.0"/>
      <color theme="1"/>
      <name val="Arial"/>
      <scheme val="minor"/>
    </font>
    <font>
      <b/>
      <sz val="11.0"/>
      <color rgb="FFFFFFFF"/>
      <name val="Calibri"/>
    </font>
    <font>
      <sz val="11.0"/>
      <color rgb="FF008000"/>
      <name val="Calibri"/>
    </font>
    <font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b/>
      <sz val="16.0"/>
      <color rgb="FFFFFFFF"/>
      <name val="Calibri"/>
    </font>
    <font>
      <b/>
      <sz val="11.0"/>
      <color rgb="FF17324D"/>
      <name val="Calibri"/>
    </font>
    <font>
      <b/>
      <sz val="18.0"/>
      <color rgb="FF1D8A8A"/>
      <name val="Calibri"/>
    </font>
    <font>
      <b/>
      <sz val="12.0"/>
      <color rgb="FF17324D"/>
      <name val="Calibri"/>
    </font>
    <font>
      <b/>
      <sz val="11.0"/>
      <color rgb="FF7F3F00"/>
      <name val="Calibri"/>
    </font>
    <font>
      <b/>
      <sz val="11.0"/>
      <color rgb="FFFFFFFF"/>
      <name val="Arial"/>
      <scheme val="minor"/>
    </font>
    <font>
      <u/>
      <sz val="11.0"/>
      <color rgb="FF0000EE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theme="9"/>
        <bgColor theme="9"/>
      </patternFill>
    </fill>
    <fill>
      <patternFill patternType="solid">
        <fgColor rgb="FFE06666"/>
        <bgColor rgb="FFE06666"/>
      </patternFill>
    </fill>
    <fill>
      <patternFill patternType="solid">
        <fgColor rgb="FF4F81BD"/>
        <bgColor rgb="FF4F81BD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CEFF0"/>
        <bgColor rgb="FFDCEFF0"/>
      </patternFill>
    </fill>
    <fill>
      <patternFill patternType="solid">
        <fgColor rgb="FFD9E8FB"/>
        <bgColor rgb="FFD9E8FB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</fills>
  <borders count="26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C7CDD4"/>
      </top>
      <bottom style="thin">
        <color rgb="FFC7CDD4"/>
      </bottom>
    </border>
    <border>
      <bottom style="thin">
        <color rgb="FFC7CDD4"/>
      </bottom>
    </border>
    <border>
      <top style="thin">
        <color rgb="FF000000"/>
      </top>
      <bottom style="thin">
        <color rgb="FF000000"/>
      </bottom>
    </border>
    <border>
      <left style="thin">
        <color rgb="FFC7CDD4"/>
      </left>
      <top style="thin">
        <color rgb="FFC7CDD4"/>
      </top>
      <bottom style="thin">
        <color rgb="FFC7CDD4"/>
      </bottom>
    </border>
    <border>
      <right style="thin">
        <color rgb="FFC7CDD4"/>
      </right>
      <top style="thin">
        <color rgb="FFC7CDD4"/>
      </top>
      <bottom style="thin">
        <color rgb="FFC7CDD4"/>
      </bottom>
    </border>
    <border>
      <left style="thin">
        <color rgb="FFC7CDD4"/>
      </left>
      <top style="thin">
        <color rgb="FFC7CDD4"/>
      </top>
    </border>
    <border>
      <right style="thin">
        <color rgb="FFC7CDD4"/>
      </right>
      <top style="thin">
        <color rgb="FFC7CDD4"/>
      </top>
    </border>
    <border>
      <left style="thin">
        <color rgb="FFC7CDD4"/>
      </left>
      <bottom style="thin">
        <color rgb="FFC7CDD4"/>
      </bottom>
    </border>
    <border>
      <right style="thin">
        <color rgb="FFC7CDD4"/>
      </right>
      <bottom style="thin">
        <color rgb="FFC7CDD4"/>
      </bottom>
    </border>
    <border>
      <left style="thin">
        <color rgb="FF000000"/>
      </left>
      <top style="thin">
        <color rgb="FFC7CDD4"/>
      </top>
      <bottom style="thin">
        <color rgb="FFC7CDD4"/>
      </bottom>
    </border>
    <border>
      <right style="thin">
        <color rgb="FF000000"/>
      </right>
      <top style="thin">
        <color rgb="FFC7CDD4"/>
      </top>
      <bottom style="thin">
        <color rgb="FFC7CDD4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0" fillId="0" fontId="5" numFmtId="0" xfId="0" applyFont="1"/>
    <xf borderId="7" fillId="3" fontId="5" numFmtId="0" xfId="0" applyAlignment="1" applyBorder="1" applyFill="1" applyFont="1">
      <alignment readingOrder="0"/>
    </xf>
    <xf borderId="8" fillId="3" fontId="2" numFmtId="0" xfId="0" applyBorder="1" applyFont="1"/>
    <xf borderId="9" fillId="3" fontId="2" numFmtId="0" xfId="0" applyBorder="1" applyFont="1"/>
    <xf borderId="7" fillId="4" fontId="5" numFmtId="0" xfId="0" applyAlignment="1" applyBorder="1" applyFill="1" applyFont="1">
      <alignment readingOrder="0"/>
    </xf>
    <xf borderId="8" fillId="4" fontId="2" numFmtId="0" xfId="0" applyBorder="1" applyFont="1"/>
    <xf borderId="9" fillId="4" fontId="2" numFmtId="0" xfId="0" applyBorder="1" applyFont="1"/>
    <xf borderId="10" fillId="3" fontId="5" numFmtId="0" xfId="0" applyBorder="1" applyFont="1"/>
    <xf borderId="0" fillId="3" fontId="2" numFmtId="0" xfId="0" applyFont="1"/>
    <xf borderId="11" fillId="3" fontId="2" numFmtId="0" xfId="0" applyBorder="1" applyFont="1"/>
    <xf borderId="10" fillId="4" fontId="5" numFmtId="0" xfId="0" applyBorder="1" applyFont="1"/>
    <xf borderId="0" fillId="4" fontId="2" numFmtId="0" xfId="0" applyFont="1"/>
    <xf borderId="11" fillId="4" fontId="2" numFmtId="0" xfId="0" applyBorder="1" applyFont="1"/>
    <xf borderId="10" fillId="3" fontId="5" numFmtId="0" xfId="0" applyAlignment="1" applyBorder="1" applyFont="1">
      <alignment readingOrder="0"/>
    </xf>
    <xf borderId="10" fillId="4" fontId="5" numFmtId="0" xfId="0" applyAlignment="1" applyBorder="1" applyFont="1">
      <alignment readingOrder="0"/>
    </xf>
    <xf borderId="12" fillId="3" fontId="5" numFmtId="0" xfId="0" applyAlignment="1" applyBorder="1" applyFont="1">
      <alignment readingOrder="0"/>
    </xf>
    <xf borderId="13" fillId="3" fontId="2" numFmtId="0" xfId="0" applyBorder="1" applyFont="1"/>
    <xf borderId="14" fillId="3" fontId="2" numFmtId="0" xfId="0" applyBorder="1" applyFont="1"/>
    <xf borderId="12" fillId="4" fontId="5" numFmtId="0" xfId="0" applyAlignment="1" applyBorder="1" applyFont="1">
      <alignment readingOrder="0"/>
    </xf>
    <xf borderId="13" fillId="4" fontId="2" numFmtId="0" xfId="0" applyBorder="1" applyFont="1"/>
    <xf borderId="14" fillId="4" fontId="2" numFmtId="0" xfId="0" applyBorder="1" applyFont="1"/>
    <xf borderId="15" fillId="5" fontId="6" numFmtId="0" xfId="0" applyAlignment="1" applyBorder="1" applyFill="1" applyFont="1">
      <alignment horizontal="center" shrinkToFit="0" wrapText="1"/>
    </xf>
    <xf borderId="16" fillId="6" fontId="7" numFmtId="0" xfId="0" applyAlignment="1" applyBorder="1" applyFill="1" applyFont="1">
      <alignment shrinkToFit="0" vertical="top" wrapText="1"/>
    </xf>
    <xf borderId="16" fillId="6" fontId="7" numFmtId="164" xfId="0" applyAlignment="1" applyBorder="1" applyFont="1" applyNumberFormat="1">
      <alignment horizontal="right" shrinkToFit="0" vertical="top" wrapText="1"/>
    </xf>
    <xf borderId="16" fillId="6" fontId="8" numFmtId="0" xfId="0" applyAlignment="1" applyBorder="1" applyFont="1">
      <alignment vertical="top"/>
    </xf>
    <xf borderId="16" fillId="7" fontId="7" numFmtId="0" xfId="0" applyAlignment="1" applyBorder="1" applyFill="1" applyFont="1">
      <alignment shrinkToFit="0" vertical="top" wrapText="1"/>
    </xf>
    <xf borderId="16" fillId="7" fontId="7" numFmtId="164" xfId="0" applyAlignment="1" applyBorder="1" applyFont="1" applyNumberFormat="1">
      <alignment horizontal="right" shrinkToFit="0" vertical="top" wrapText="1"/>
    </xf>
    <xf borderId="16" fillId="7" fontId="8" numFmtId="0" xfId="0" applyAlignment="1" applyBorder="1" applyFont="1">
      <alignment vertical="top"/>
    </xf>
    <xf borderId="16" fillId="7" fontId="7" numFmtId="3" xfId="0" applyAlignment="1" applyBorder="1" applyFont="1" applyNumberFormat="1">
      <alignment horizontal="right" shrinkToFit="0" vertical="top" wrapText="1"/>
    </xf>
    <xf borderId="16" fillId="6" fontId="7" numFmtId="3" xfId="0" applyAlignment="1" applyBorder="1" applyFont="1" applyNumberFormat="1">
      <alignment horizontal="right" shrinkToFit="0" vertical="top" wrapText="1"/>
    </xf>
    <xf borderId="13" fillId="3" fontId="6" numFmtId="0" xfId="0" applyAlignment="1" applyBorder="1" applyFont="1">
      <alignment horizontal="center" shrinkToFit="0" wrapText="1"/>
    </xf>
    <xf borderId="13" fillId="3" fontId="6" numFmtId="0" xfId="0" applyAlignment="1" applyBorder="1" applyFont="1">
      <alignment horizontal="center" shrinkToFit="0" vertical="bottom" wrapText="1"/>
    </xf>
    <xf borderId="17" fillId="8" fontId="9" numFmtId="0" xfId="0" applyAlignment="1" applyBorder="1" applyFill="1" applyFont="1">
      <alignment shrinkToFit="0" vertical="top" wrapText="1"/>
    </xf>
    <xf borderId="17" fillId="8" fontId="9" numFmtId="164" xfId="0" applyAlignment="1" applyBorder="1" applyFont="1" applyNumberFormat="1">
      <alignment horizontal="right" shrinkToFit="0" vertical="top" wrapText="1"/>
    </xf>
    <xf borderId="17" fillId="8" fontId="9" numFmtId="0" xfId="0" applyAlignment="1" applyBorder="1" applyFont="1">
      <alignment readingOrder="0" shrinkToFit="0" vertical="top" wrapText="1"/>
    </xf>
    <xf borderId="17" fillId="7" fontId="9" numFmtId="0" xfId="0" applyAlignment="1" applyBorder="1" applyFont="1">
      <alignment shrinkToFit="0" vertical="top" wrapText="1"/>
    </xf>
    <xf borderId="17" fillId="7" fontId="10" numFmtId="0" xfId="0" applyAlignment="1" applyBorder="1" applyFont="1">
      <alignment vertical="top"/>
    </xf>
    <xf borderId="17" fillId="7" fontId="8" numFmtId="0" xfId="0" applyAlignment="1" applyBorder="1" applyFont="1">
      <alignment vertical="top"/>
    </xf>
    <xf borderId="17" fillId="7" fontId="9" numFmtId="0" xfId="0" applyAlignment="1" applyBorder="1" applyFont="1">
      <alignment vertical="top"/>
    </xf>
    <xf borderId="17" fillId="8" fontId="11" numFmtId="0" xfId="0" applyAlignment="1" applyBorder="1" applyFont="1">
      <alignment readingOrder="0" shrinkToFit="0" vertical="top" wrapText="1"/>
    </xf>
    <xf borderId="17" fillId="7" fontId="9" numFmtId="0" xfId="0" applyAlignment="1" applyBorder="1" applyFont="1">
      <alignment shrinkToFit="0" vertical="top" wrapText="1"/>
    </xf>
    <xf borderId="17" fillId="7" fontId="9" numFmtId="164" xfId="0" applyAlignment="1" applyBorder="1" applyFont="1" applyNumberFormat="1">
      <alignment horizontal="right" shrinkToFit="0" vertical="top" wrapText="1"/>
    </xf>
    <xf borderId="17" fillId="7" fontId="12" numFmtId="0" xfId="0" applyAlignment="1" applyBorder="1" applyFont="1">
      <alignment readingOrder="0" shrinkToFit="0" vertical="top" wrapText="1"/>
    </xf>
    <xf borderId="17" fillId="7" fontId="9" numFmtId="0" xfId="0" applyAlignment="1" applyBorder="1" applyFont="1">
      <alignment shrinkToFit="0" vertical="top" wrapText="1"/>
    </xf>
    <xf borderId="17" fillId="7" fontId="9" numFmtId="164" xfId="0" applyAlignment="1" applyBorder="1" applyFont="1" applyNumberFormat="1">
      <alignment horizontal="right" shrinkToFit="0" vertical="top" wrapText="1"/>
    </xf>
    <xf borderId="17" fillId="7" fontId="13" numFmtId="0" xfId="0" applyAlignment="1" applyBorder="1" applyFont="1">
      <alignment readingOrder="0" shrinkToFit="0" vertical="top" wrapText="1"/>
    </xf>
    <xf borderId="17" fillId="7" fontId="14" numFmtId="0" xfId="0" applyAlignment="1" applyBorder="1" applyFont="1">
      <alignment readingOrder="0" shrinkToFit="0" vertical="top" wrapText="1"/>
    </xf>
    <xf borderId="17" fillId="7" fontId="15" numFmtId="0" xfId="0" applyAlignment="1" applyBorder="1" applyFont="1">
      <alignment readingOrder="0" shrinkToFit="0" vertical="top" wrapText="1"/>
    </xf>
    <xf borderId="17" fillId="7" fontId="9" numFmtId="3" xfId="0" applyAlignment="1" applyBorder="1" applyFont="1" applyNumberFormat="1">
      <alignment readingOrder="0" vertical="top"/>
    </xf>
    <xf borderId="17" fillId="7" fontId="9" numFmtId="3" xfId="0" applyAlignment="1" applyBorder="1" applyFont="1" applyNumberFormat="1">
      <alignment horizontal="right" readingOrder="0" shrinkToFit="0" vertical="top" wrapText="1"/>
    </xf>
    <xf borderId="17" fillId="7" fontId="9" numFmtId="3" xfId="0" applyAlignment="1" applyBorder="1" applyFont="1" applyNumberFormat="1">
      <alignment horizontal="right" shrinkToFit="0" vertical="top" wrapText="1"/>
    </xf>
    <xf borderId="8" fillId="7" fontId="9" numFmtId="0" xfId="0" applyAlignment="1" applyBorder="1" applyFont="1">
      <alignment shrinkToFit="0" vertical="top" wrapText="1"/>
    </xf>
    <xf borderId="8" fillId="7" fontId="9" numFmtId="164" xfId="0" applyAlignment="1" applyBorder="1" applyFont="1" applyNumberFormat="1">
      <alignment horizontal="right" shrinkToFit="0" vertical="top" wrapText="1"/>
    </xf>
    <xf borderId="8" fillId="8" fontId="9" numFmtId="0" xfId="0" applyAlignment="1" applyBorder="1" applyFont="1">
      <alignment readingOrder="0" shrinkToFit="0" vertical="top" wrapText="1"/>
    </xf>
    <xf borderId="8" fillId="7" fontId="10" numFmtId="0" xfId="0" applyAlignment="1" applyBorder="1" applyFont="1">
      <alignment vertical="top"/>
    </xf>
    <xf borderId="8" fillId="7" fontId="8" numFmtId="0" xfId="0" applyAlignment="1" applyBorder="1" applyFont="1">
      <alignment vertical="top"/>
    </xf>
    <xf borderId="8" fillId="7" fontId="9" numFmtId="3" xfId="0" applyAlignment="1" applyBorder="1" applyFont="1" applyNumberFormat="1">
      <alignment horizontal="right" readingOrder="0" shrinkToFit="0" vertical="top" wrapText="1"/>
    </xf>
    <xf borderId="8" fillId="7" fontId="16" numFmtId="0" xfId="0" applyAlignment="1" applyBorder="1" applyFont="1">
      <alignment readingOrder="0" shrinkToFit="0" vertical="top" wrapText="1"/>
    </xf>
    <xf borderId="1" fillId="2" fontId="17" numFmtId="0" xfId="0" applyAlignment="1" applyBorder="1" applyFont="1">
      <alignment horizontal="center"/>
    </xf>
    <xf borderId="18" fillId="9" fontId="18" numFmtId="0" xfId="0" applyAlignment="1" applyBorder="1" applyFill="1" applyFont="1">
      <alignment horizontal="center" vertical="bottom"/>
    </xf>
    <xf borderId="19" fillId="0" fontId="4" numFmtId="0" xfId="0" applyBorder="1" applyFont="1"/>
    <xf borderId="20" fillId="7" fontId="19" numFmtId="0" xfId="0" applyAlignment="1" applyBorder="1" applyFont="1">
      <alignment horizontal="center"/>
    </xf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7" fillId="0" fontId="20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8" fillId="0" fontId="8" numFmtId="0" xfId="0" applyAlignment="1" applyBorder="1" applyFont="1">
      <alignment vertical="bottom"/>
    </xf>
    <xf borderId="24" fillId="10" fontId="18" numFmtId="0" xfId="0" applyAlignment="1" applyBorder="1" applyFill="1" applyFont="1">
      <alignment horizontal="center" shrinkToFit="0" wrapText="1"/>
    </xf>
    <xf borderId="25" fillId="10" fontId="18" numFmtId="0" xfId="0" applyAlignment="1" applyBorder="1" applyFont="1">
      <alignment horizontal="center" shrinkToFit="0" wrapText="1"/>
    </xf>
    <xf borderId="24" fillId="11" fontId="18" numFmtId="0" xfId="0" applyAlignment="1" applyBorder="1" applyFill="1" applyFont="1">
      <alignment horizontal="center" shrinkToFit="0" wrapText="1"/>
    </xf>
    <xf borderId="15" fillId="11" fontId="18" numFmtId="0" xfId="0" applyAlignment="1" applyBorder="1" applyFont="1">
      <alignment horizontal="center" shrinkToFit="0" wrapText="1"/>
    </xf>
    <xf borderId="25" fillId="11" fontId="18" numFmtId="0" xfId="0" applyAlignment="1" applyBorder="1" applyFont="1">
      <alignment horizontal="center" shrinkToFit="0" wrapText="1"/>
    </xf>
    <xf borderId="10" fillId="0" fontId="8" numFmtId="0" xfId="0" applyAlignment="1" applyBorder="1" applyFont="1">
      <alignment vertical="bottom"/>
    </xf>
    <xf borderId="11" fillId="0" fontId="8" numFmtId="0" xfId="0" applyAlignment="1" applyBorder="1" applyFont="1">
      <alignment horizontal="right" vertical="bottom"/>
    </xf>
    <xf borderId="0" fillId="0" fontId="8" numFmtId="0" xfId="0" applyAlignment="1" applyFont="1">
      <alignment horizontal="right" vertical="bottom"/>
    </xf>
    <xf borderId="12" fillId="0" fontId="8" numFmtId="0" xfId="0" applyAlignment="1" applyBorder="1" applyFont="1">
      <alignment vertical="bottom"/>
    </xf>
    <xf borderId="14" fillId="0" fontId="8" numFmtId="0" xfId="0" applyAlignment="1" applyBorder="1" applyFont="1">
      <alignment horizontal="right" vertical="bottom"/>
    </xf>
    <xf borderId="13" fillId="0" fontId="8" numFmtId="0" xfId="0" applyAlignment="1" applyBorder="1" applyFont="1">
      <alignment horizontal="right" vertical="bottom"/>
    </xf>
    <xf borderId="7" fillId="0" fontId="20" numFmtId="0" xfId="0" applyAlignment="1" applyBorder="1" applyFont="1">
      <alignment textRotation="0" vertical="bottom"/>
    </xf>
    <xf borderId="8" fillId="0" fontId="8" numFmtId="0" xfId="0" applyAlignment="1" applyBorder="1" applyFont="1">
      <alignment textRotation="0" vertical="bottom"/>
    </xf>
    <xf borderId="9" fillId="0" fontId="8" numFmtId="0" xfId="0" applyAlignment="1" applyBorder="1" applyFont="1">
      <alignment textRotation="0" vertical="bottom"/>
    </xf>
    <xf borderId="24" fillId="12" fontId="21" numFmtId="0" xfId="0" applyAlignment="1" applyBorder="1" applyFill="1" applyFont="1">
      <alignment horizontal="center" shrinkToFit="0" wrapText="1"/>
    </xf>
    <xf borderId="25" fillId="12" fontId="21" numFmtId="0" xfId="0" applyAlignment="1" applyBorder="1" applyFont="1">
      <alignment horizontal="center" shrinkToFit="0" wrapText="1"/>
    </xf>
    <xf borderId="24" fillId="13" fontId="18" numFmtId="0" xfId="0" applyAlignment="1" applyBorder="1" applyFill="1" applyFont="1">
      <alignment horizontal="center" shrinkToFit="0" textRotation="0" wrapText="1"/>
    </xf>
    <xf borderId="15" fillId="13" fontId="18" numFmtId="0" xfId="0" applyAlignment="1" applyBorder="1" applyFont="1">
      <alignment horizontal="center" shrinkToFit="0" textRotation="0" wrapText="1"/>
    </xf>
    <xf borderId="25" fillId="13" fontId="18" numFmtId="0" xfId="0" applyAlignment="1" applyBorder="1" applyFont="1">
      <alignment horizontal="center" shrinkToFit="0" textRotation="0" wrapText="1"/>
    </xf>
    <xf borderId="10" fillId="0" fontId="8" numFmtId="0" xfId="0" applyAlignment="1" applyBorder="1" applyFont="1">
      <alignment horizontal="right" textRotation="0" vertical="bottom"/>
    </xf>
    <xf borderId="0" fillId="0" fontId="8" numFmtId="0" xfId="0" applyAlignment="1" applyFont="1">
      <alignment horizontal="right" textRotation="0" vertical="bottom"/>
    </xf>
    <xf borderId="11" fillId="0" fontId="8" numFmtId="0" xfId="0" applyAlignment="1" applyBorder="1" applyFont="1">
      <alignment horizontal="right" textRotation="0" vertical="bottom"/>
    </xf>
    <xf borderId="11" fillId="0" fontId="8" numFmtId="0" xfId="0" applyAlignment="1" applyBorder="1" applyFont="1">
      <alignment horizontal="right" readingOrder="0" textRotation="0" vertical="bottom"/>
    </xf>
    <xf borderId="12" fillId="0" fontId="8" numFmtId="0" xfId="0" applyAlignment="1" applyBorder="1" applyFont="1">
      <alignment horizontal="right" textRotation="0" vertical="bottom"/>
    </xf>
    <xf borderId="13" fillId="0" fontId="8" numFmtId="0" xfId="0" applyAlignment="1" applyBorder="1" applyFont="1">
      <alignment horizontal="right" textRotation="0" vertical="bottom"/>
    </xf>
    <xf borderId="14" fillId="0" fontId="8" numFmtId="0" xfId="0" applyAlignment="1" applyBorder="1" applyFont="1">
      <alignment horizontal="right" readingOrder="0" textRotation="0" vertical="bottom"/>
    </xf>
    <xf borderId="12" fillId="0" fontId="8" numFmtId="0" xfId="0" applyAlignment="1" applyBorder="1" applyFont="1">
      <alignment readingOrder="0" vertical="bottom"/>
    </xf>
    <xf borderId="0" fillId="2" fontId="17" numFmtId="0" xfId="0" applyAlignment="1" applyFont="1">
      <alignment horizontal="center"/>
    </xf>
    <xf borderId="0" fillId="2" fontId="22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top" wrapText="1"/>
    </xf>
    <xf borderId="0" fillId="0" fontId="23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Raw_Sheet-style">
      <tableStyleElement dxfId="1" type="headerRow"/>
      <tableStyleElement dxfId="2" type="firstRowStripe"/>
      <tableStyleElement dxfId="3" type="secondRowStripe"/>
    </tableStyle>
    <tableStyle count="3" pivot="0" name="Cleaned_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  <a:r>
              <a:rPr b="0">
                <a:solidFill>
                  <a:srgbClr val="000000"/>
                </a:solidFill>
                <a:latin typeface="Garamond"/>
              </a:rPr>
              <a:t>Cases By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Analysis!$B$12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Analysis!$A$13:$A$16</c:f>
            </c:strRef>
          </c:cat>
          <c:val>
            <c:numRef>
              <c:f>Analysis!$B$13:$B$16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Cases By Area Group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Analysis!$E$12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cat>
            <c:strRef>
              <c:f>Analysis!$D$13:$D$18</c:f>
            </c:strRef>
          </c:cat>
          <c:val>
            <c:numRef>
              <c:f>Analysis!$E$13:$E$18</c:f>
              <c:numCache/>
            </c:numRef>
          </c:val>
        </c:ser>
        <c:axId val="894740246"/>
        <c:axId val="23862049"/>
      </c:barChart>
      <c:catAx>
        <c:axId val="8947402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862049"/>
      </c:catAx>
      <c:valAx>
        <c:axId val="23862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47402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Explanation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Analysis!$B$20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Analysis!$A$21:$A$35</c:f>
            </c:strRef>
          </c:cat>
          <c:val>
            <c:numRef>
              <c:f>Analysis!$B$21:$B$35</c:f>
              <c:numCache/>
            </c:numRef>
          </c:val>
        </c:ser>
        <c:axId val="201501463"/>
        <c:axId val="1994287211"/>
      </c:barChart>
      <c:catAx>
        <c:axId val="2015014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287211"/>
      </c:catAx>
      <c:valAx>
        <c:axId val="19942872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50146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Incident By Years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Analysis!$E$20</c:f>
            </c:strRef>
          </c:tx>
          <c:spPr>
            <a:ln cmpd="sng">
              <a:solidFill>
                <a:srgbClr val="CC0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Analysis!$D$21:$D$28</c:f>
            </c:strRef>
          </c:cat>
          <c:val>
            <c:numRef>
              <c:f>Analysis!$E$21:$E$28</c:f>
              <c:numCache/>
            </c:numRef>
          </c:val>
          <c:smooth val="0"/>
        </c:ser>
        <c:axId val="1757275174"/>
        <c:axId val="1926529430"/>
      </c:lineChart>
      <c:catAx>
        <c:axId val="17572751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6529430"/>
      </c:catAx>
      <c:valAx>
        <c:axId val="192652943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72751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3</xdr:row>
      <xdr:rowOff>38100</xdr:rowOff>
    </xdr:from>
    <xdr:ext cx="400050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466725</xdr:colOff>
      <xdr:row>4</xdr:row>
      <xdr:rowOff>85725</xdr:rowOff>
    </xdr:from>
    <xdr:ext cx="5495925" cy="2085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466725</xdr:colOff>
      <xdr:row>16</xdr:row>
      <xdr:rowOff>85725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447675</xdr:colOff>
      <xdr:row>18</xdr:row>
      <xdr:rowOff>38100</xdr:rowOff>
    </xdr:from>
    <xdr:ext cx="3609975" cy="2819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30" displayName="Table_1" name="Table_1" id="1">
  <tableColumns count="19">
    <tableColumn name="Incident_ID" id="1"/>
    <tableColumn name="Incident_Name" id="2"/>
    <tableColumn name="Incident_Date" id="3"/>
    <tableColumn name="Date_Precision" id="4"/>
    <tableColumn name="Area_Group" id="5"/>
    <tableColumn name="Location" id="6"/>
    <tableColumn name="Reporting_Agency" id="7"/>
    <tableColumn name="Source_Type" id="8"/>
    <tableColumn name="Evidence_Type" id="9"/>
    <tableColumn name="Status" id="10"/>
    <tableColumn name="Likely_Explanation" id="11"/>
    <tableColumn name="Official_Confidence" id="12"/>
    <tableColumn name="Year" id="13"/>
    <tableColumn name="Open_Case_Flag" id="14"/>
    <tableColumn name="Credibility_Score" id="15"/>
    <tableColumn name="Credibility_Rating" id="16"/>
    <tableColumn name="Assessed_Altitude_ft" id="17"/>
    <tableColumn name="Notes" id="18"/>
    <tableColumn name="Source_URL" id="19"/>
  </tableColumns>
  <tableStyleInfo name="Raw_Sheet-style" showColumnStripes="0" showFirstColumn="1" showLastColumn="1" showRowStripes="1"/>
</table>
</file>

<file path=xl/tables/table2.xml><?xml version="1.0" encoding="utf-8"?>
<table xmlns="http://schemas.openxmlformats.org/spreadsheetml/2006/main" ref="A1:S29" displayName="Table_2" name="Table_2" id="2">
  <tableColumns count="19">
    <tableColumn name="Incident_ID" id="1"/>
    <tableColumn name="Incident_Name" id="2"/>
    <tableColumn name="Incident_Date" id="3"/>
    <tableColumn name="Date_Precision" id="4"/>
    <tableColumn name="Area_Group" id="5"/>
    <tableColumn name="Location" id="6"/>
    <tableColumn name="Reporting_Agency" id="7"/>
    <tableColumn name="Source_Type" id="8"/>
    <tableColumn name="Evidence_Type" id="9"/>
    <tableColumn name="Status" id="10"/>
    <tableColumn name="Likely_Explanation" id="11"/>
    <tableColumn name="Official_Confidence" id="12"/>
    <tableColumn name="Year" id="13"/>
    <tableColumn name="Open_Case_Flag" id="14"/>
    <tableColumn name="Credibility_Score" id="15"/>
    <tableColumn name="Credibility_Rating" id="16"/>
    <tableColumn name="Assessed_Altitude_ft" id="17"/>
    <tableColumn name="Notes" id="18"/>
    <tableColumn name="Source_URL" id="19"/>
  </tableColumns>
  <tableStyleInfo name="Cleaned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aro.mil/UAP-Cases/Official-UAP-Imagery/" TargetMode="External"/><Relationship Id="rId22" Type="http://schemas.openxmlformats.org/officeDocument/2006/relationships/hyperlink" Target="https://www.aaro.mil/Portals/136/PDFs/case_resolution_reports/AARO_Puerto_Rico_UAP_Case_Resolution.pdf" TargetMode="External"/><Relationship Id="rId21" Type="http://schemas.openxmlformats.org/officeDocument/2006/relationships/hyperlink" Target="https://www.aaro.mil/Portals/136/PDFs/case_resolution_reports/AARO_Al_Taqaddam_Case_Resolution_Final.pdf" TargetMode="External"/><Relationship Id="rId24" Type="http://schemas.openxmlformats.org/officeDocument/2006/relationships/hyperlink" Target="https://www.aaro.mil/Portals/136/PDFs/case_resolution_reports/Case_Resolution_of_Eglin_UAP_2_508_.pdf" TargetMode="External"/><Relationship Id="rId23" Type="http://schemas.openxmlformats.org/officeDocument/2006/relationships/hyperlink" Target="https://www.aaro.mil/Portals/136/PDFs/case_resolution_reports/AARO_GoFast_Case_Resolution_Card_Methodology_Final.pdf" TargetMode="External"/><Relationship Id="rId1" Type="http://schemas.openxmlformats.org/officeDocument/2006/relationships/hyperlink" Target="https://www.aaro.mil/UAP-Cases/Official-UAP-Imagery/" TargetMode="External"/><Relationship Id="rId2" Type="http://schemas.openxmlformats.org/officeDocument/2006/relationships/hyperlink" Target="https://www.aaro.mil/UAP-Cases/Official-UAP-Imagery/" TargetMode="External"/><Relationship Id="rId3" Type="http://schemas.openxmlformats.org/officeDocument/2006/relationships/hyperlink" Target="https://www.aaro.mil/UAP-Cases/Official-UAP-Imagery/" TargetMode="External"/><Relationship Id="rId4" Type="http://schemas.openxmlformats.org/officeDocument/2006/relationships/hyperlink" Target="https://www.aaro.mil/UAP-Cases/Official-UAP-Imagery/" TargetMode="External"/><Relationship Id="rId9" Type="http://schemas.openxmlformats.org/officeDocument/2006/relationships/hyperlink" Target="https://www.aaro.mil/UAP-Cases/Official-UAP-Imagery/" TargetMode="External"/><Relationship Id="rId26" Type="http://schemas.openxmlformats.org/officeDocument/2006/relationships/hyperlink" Target="https://www.aaro.mil/Portals/136/PDFs/case_resolution_reports/Case_Resolution_of_Southeast_Asia_Triangles_508-02262024.pdf" TargetMode="External"/><Relationship Id="rId25" Type="http://schemas.openxmlformats.org/officeDocument/2006/relationships/hyperlink" Target="https://www.aaro.mil/Portals/136/PDFs/case_resolution_reports/Case_Resolution_of_Atmospheric_Wakes_508-02262024.pdf" TargetMode="External"/><Relationship Id="rId28" Type="http://schemas.openxmlformats.org/officeDocument/2006/relationships/hyperlink" Target="https://www.aaro.mil/Portals/136/PDFs/case_resolution_reports/Mt-Etna-Object.pdf" TargetMode="External"/><Relationship Id="rId27" Type="http://schemas.openxmlformats.org/officeDocument/2006/relationships/hyperlink" Target="https://www.aaro.mil/Portals/136/PDFs/case_resolution_reports/Case_Resolution_of_Western_United_States_Uap_508-02262024.pdf" TargetMode="External"/><Relationship Id="rId5" Type="http://schemas.openxmlformats.org/officeDocument/2006/relationships/hyperlink" Target="https://www.aaro.mil/UAP-Cases/Official-UAP-Imagery/" TargetMode="External"/><Relationship Id="rId6" Type="http://schemas.openxmlformats.org/officeDocument/2006/relationships/hyperlink" Target="https://www.aaro.mil/UAP-Cases/Official-UAP-Imagery/" TargetMode="External"/><Relationship Id="rId29" Type="http://schemas.openxmlformats.org/officeDocument/2006/relationships/drawing" Target="../drawings/drawing3.xml"/><Relationship Id="rId7" Type="http://schemas.openxmlformats.org/officeDocument/2006/relationships/hyperlink" Target="https://www.aaro.mil/UAP-Cases/Official-UAP-Imagery/" TargetMode="External"/><Relationship Id="rId8" Type="http://schemas.openxmlformats.org/officeDocument/2006/relationships/hyperlink" Target="https://www.aaro.mil/UAP-Cases/Official-UAP-Imagery/" TargetMode="External"/><Relationship Id="rId31" Type="http://schemas.openxmlformats.org/officeDocument/2006/relationships/table" Target="../tables/table2.xml"/><Relationship Id="rId11" Type="http://schemas.openxmlformats.org/officeDocument/2006/relationships/hyperlink" Target="https://www.aaro.mil/UAP-Cases/Official-UAP-Imagery/" TargetMode="External"/><Relationship Id="rId10" Type="http://schemas.openxmlformats.org/officeDocument/2006/relationships/hyperlink" Target="https://www.aaro.mil/UAP-Cases/Official-UAP-Imagery/" TargetMode="External"/><Relationship Id="rId13" Type="http://schemas.openxmlformats.org/officeDocument/2006/relationships/hyperlink" Target="https://www.aaro.mil/UAP-Cases/Official-UAP-Imagery/" TargetMode="External"/><Relationship Id="rId12" Type="http://schemas.openxmlformats.org/officeDocument/2006/relationships/hyperlink" Target="https://www.aaro.mil/UAP-Cases/Official-UAP-Imagery/" TargetMode="External"/><Relationship Id="rId15" Type="http://schemas.openxmlformats.org/officeDocument/2006/relationships/hyperlink" Target="https://www.aaro.mil/UAP-Cases/Official-UAP-Imagery/" TargetMode="External"/><Relationship Id="rId14" Type="http://schemas.openxmlformats.org/officeDocument/2006/relationships/hyperlink" Target="https://www.aaro.mil/UAP-Cases/Official-UAP-Imagery/" TargetMode="External"/><Relationship Id="rId17" Type="http://schemas.openxmlformats.org/officeDocument/2006/relationships/hyperlink" Target="https://www.aaro.mil/UAP-Cases/Official-UAP-Imagery/" TargetMode="External"/><Relationship Id="rId16" Type="http://schemas.openxmlformats.org/officeDocument/2006/relationships/hyperlink" Target="https://www.aaro.mil/UAP-Cases/Official-UAP-Imagery/" TargetMode="External"/><Relationship Id="rId19" Type="http://schemas.openxmlformats.org/officeDocument/2006/relationships/hyperlink" Target="https://www.aaro.mil/UAP-Cases/Official-UAP-Imagery/" TargetMode="External"/><Relationship Id="rId18" Type="http://schemas.openxmlformats.org/officeDocument/2006/relationships/hyperlink" Target="https://www.aaro.mil/UAP-Cases/Official-UAP-Imagery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0"/>
    <col customWidth="1" min="2" max="2" width="17.75"/>
  </cols>
  <sheetData>
    <row r="1">
      <c r="A1" s="1"/>
    </row>
    <row r="2">
      <c r="A2" s="2"/>
    </row>
    <row r="3">
      <c r="E3" s="3" t="s">
        <v>0</v>
      </c>
      <c r="F3" s="4"/>
      <c r="G3" s="4"/>
      <c r="H3" s="4"/>
      <c r="I3" s="4"/>
      <c r="J3" s="4"/>
      <c r="K3" s="5"/>
    </row>
    <row r="4">
      <c r="E4" s="6"/>
      <c r="F4" s="7"/>
      <c r="G4" s="7"/>
      <c r="H4" s="7"/>
      <c r="I4" s="7"/>
      <c r="J4" s="7"/>
      <c r="K4" s="8"/>
    </row>
    <row r="7">
      <c r="B7" s="9"/>
    </row>
    <row r="8">
      <c r="B8" s="10" t="s">
        <v>1</v>
      </c>
      <c r="C8" s="11"/>
      <c r="D8" s="11"/>
      <c r="E8" s="11"/>
      <c r="F8" s="12"/>
      <c r="J8" s="13" t="s">
        <v>2</v>
      </c>
      <c r="K8" s="14"/>
      <c r="L8" s="14"/>
      <c r="M8" s="15"/>
    </row>
    <row r="9">
      <c r="B9" s="16"/>
      <c r="C9" s="17"/>
      <c r="D9" s="17"/>
      <c r="E9" s="17"/>
      <c r="F9" s="18"/>
      <c r="J9" s="19"/>
      <c r="K9" s="20"/>
      <c r="L9" s="20"/>
      <c r="M9" s="21"/>
    </row>
    <row r="10">
      <c r="B10" s="22" t="s">
        <v>3</v>
      </c>
      <c r="C10" s="17"/>
      <c r="D10" s="17"/>
      <c r="E10" s="17"/>
      <c r="F10" s="18"/>
      <c r="J10" s="23" t="s">
        <v>4</v>
      </c>
      <c r="K10" s="20"/>
      <c r="L10" s="20"/>
      <c r="M10" s="21"/>
    </row>
    <row r="11">
      <c r="B11" s="22" t="s">
        <v>5</v>
      </c>
      <c r="C11" s="17"/>
      <c r="D11" s="17"/>
      <c r="E11" s="17"/>
      <c r="F11" s="18"/>
      <c r="J11" s="19"/>
      <c r="K11" s="20"/>
      <c r="L11" s="20"/>
      <c r="M11" s="21"/>
    </row>
    <row r="12">
      <c r="B12" s="22" t="s">
        <v>6</v>
      </c>
      <c r="C12" s="17"/>
      <c r="D12" s="17"/>
      <c r="E12" s="17"/>
      <c r="F12" s="18"/>
      <c r="J12" s="23" t="s">
        <v>7</v>
      </c>
      <c r="K12" s="20"/>
      <c r="L12" s="20"/>
      <c r="M12" s="21"/>
    </row>
    <row r="13">
      <c r="B13" s="22" t="s">
        <v>8</v>
      </c>
      <c r="C13" s="17"/>
      <c r="D13" s="17"/>
      <c r="E13" s="17"/>
      <c r="F13" s="18"/>
      <c r="J13" s="23" t="s">
        <v>9</v>
      </c>
      <c r="K13" s="20"/>
      <c r="L13" s="20"/>
      <c r="M13" s="21"/>
    </row>
    <row r="14">
      <c r="B14" s="22" t="s">
        <v>10</v>
      </c>
      <c r="C14" s="17"/>
      <c r="D14" s="17"/>
      <c r="E14" s="17"/>
      <c r="F14" s="18"/>
      <c r="J14" s="23" t="s">
        <v>11</v>
      </c>
      <c r="K14" s="20"/>
      <c r="L14" s="20"/>
      <c r="M14" s="21"/>
    </row>
    <row r="15">
      <c r="B15" s="24" t="s">
        <v>12</v>
      </c>
      <c r="C15" s="25"/>
      <c r="D15" s="25"/>
      <c r="E15" s="25"/>
      <c r="F15" s="26"/>
      <c r="J15" s="23" t="s">
        <v>13</v>
      </c>
      <c r="K15" s="20"/>
      <c r="L15" s="20"/>
      <c r="M15" s="21"/>
    </row>
    <row r="16">
      <c r="J16" s="27" t="s">
        <v>14</v>
      </c>
      <c r="K16" s="28"/>
      <c r="L16" s="28"/>
      <c r="M16" s="29"/>
    </row>
  </sheetData>
  <mergeCells count="1">
    <mergeCell ref="E3:K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8.38"/>
  </cols>
  <sheetData>
    <row r="1">
      <c r="A1" s="30" t="s">
        <v>15</v>
      </c>
      <c r="B1" s="30" t="s">
        <v>16</v>
      </c>
      <c r="C1" s="30" t="s">
        <v>17</v>
      </c>
      <c r="D1" s="30" t="s">
        <v>18</v>
      </c>
      <c r="E1" s="30" t="s">
        <v>19</v>
      </c>
      <c r="F1" s="30" t="s">
        <v>20</v>
      </c>
      <c r="G1" s="30" t="s">
        <v>21</v>
      </c>
      <c r="H1" s="30" t="s">
        <v>22</v>
      </c>
      <c r="I1" s="30" t="s">
        <v>23</v>
      </c>
      <c r="J1" s="30" t="s">
        <v>24</v>
      </c>
      <c r="K1" s="30" t="s">
        <v>25</v>
      </c>
      <c r="L1" s="30" t="s">
        <v>26</v>
      </c>
      <c r="M1" s="30" t="s">
        <v>27</v>
      </c>
      <c r="N1" s="30" t="s">
        <v>28</v>
      </c>
      <c r="O1" s="30" t="s">
        <v>29</v>
      </c>
      <c r="P1" s="30" t="s">
        <v>30</v>
      </c>
      <c r="Q1" s="30" t="s">
        <v>31</v>
      </c>
      <c r="R1" s="30" t="s">
        <v>32</v>
      </c>
      <c r="S1" s="30" t="s">
        <v>33</v>
      </c>
    </row>
    <row r="2">
      <c r="A2" s="31" t="s">
        <v>34</v>
      </c>
      <c r="B2" s="31" t="s">
        <v>35</v>
      </c>
      <c r="C2" s="32">
        <v>44562.0</v>
      </c>
      <c r="D2" s="31" t="s">
        <v>27</v>
      </c>
      <c r="E2" s="31" t="s">
        <v>36</v>
      </c>
      <c r="F2" s="31" t="s">
        <v>37</v>
      </c>
      <c r="G2" s="31" t="s">
        <v>38</v>
      </c>
      <c r="H2" s="31" t="s">
        <v>39</v>
      </c>
      <c r="I2" s="31" t="s">
        <v>40</v>
      </c>
      <c r="J2" s="31" t="s">
        <v>41</v>
      </c>
      <c r="K2" s="31" t="s">
        <v>42</v>
      </c>
      <c r="L2" s="31" t="s">
        <v>43</v>
      </c>
      <c r="M2" s="33"/>
      <c r="N2" s="33"/>
      <c r="O2" s="33"/>
      <c r="P2" s="33"/>
      <c r="Q2" s="33"/>
      <c r="R2" s="31" t="s">
        <v>44</v>
      </c>
      <c r="S2" s="31" t="s">
        <v>45</v>
      </c>
    </row>
    <row r="3">
      <c r="A3" s="34" t="s">
        <v>46</v>
      </c>
      <c r="B3" s="34" t="s">
        <v>47</v>
      </c>
      <c r="C3" s="35">
        <v>45292.0</v>
      </c>
      <c r="D3" s="34" t="s">
        <v>27</v>
      </c>
      <c r="E3" s="34" t="s">
        <v>36</v>
      </c>
      <c r="F3" s="34" t="s">
        <v>48</v>
      </c>
      <c r="G3" s="34" t="s">
        <v>38</v>
      </c>
      <c r="H3" s="34" t="s">
        <v>39</v>
      </c>
      <c r="I3" s="34" t="s">
        <v>40</v>
      </c>
      <c r="J3" s="34" t="s">
        <v>49</v>
      </c>
      <c r="K3" s="34" t="s">
        <v>50</v>
      </c>
      <c r="L3" s="34" t="s">
        <v>51</v>
      </c>
      <c r="M3" s="36"/>
      <c r="N3" s="36"/>
      <c r="O3" s="36"/>
      <c r="P3" s="36"/>
      <c r="Q3" s="36"/>
      <c r="R3" s="34" t="s">
        <v>52</v>
      </c>
      <c r="S3" s="34" t="s">
        <v>45</v>
      </c>
    </row>
    <row r="4">
      <c r="A4" s="31" t="s">
        <v>53</v>
      </c>
      <c r="B4" s="31" t="s">
        <v>54</v>
      </c>
      <c r="C4" s="32">
        <v>44562.0</v>
      </c>
      <c r="D4" s="31" t="s">
        <v>27</v>
      </c>
      <c r="E4" s="31" t="s">
        <v>55</v>
      </c>
      <c r="F4" s="31" t="s">
        <v>56</v>
      </c>
      <c r="G4" s="31" t="s">
        <v>57</v>
      </c>
      <c r="H4" s="31" t="s">
        <v>39</v>
      </c>
      <c r="I4" s="31" t="s">
        <v>40</v>
      </c>
      <c r="J4" s="31" t="s">
        <v>49</v>
      </c>
      <c r="K4" s="31" t="s">
        <v>58</v>
      </c>
      <c r="L4" s="31" t="s">
        <v>51</v>
      </c>
      <c r="M4" s="33"/>
      <c r="N4" s="33"/>
      <c r="O4" s="33"/>
      <c r="P4" s="33"/>
      <c r="Q4" s="33"/>
      <c r="R4" s="31" t="s">
        <v>59</v>
      </c>
      <c r="S4" s="31" t="s">
        <v>45</v>
      </c>
    </row>
    <row r="5">
      <c r="A5" s="34" t="s">
        <v>60</v>
      </c>
      <c r="B5" s="34" t="s">
        <v>61</v>
      </c>
      <c r="C5" s="35">
        <v>44562.0</v>
      </c>
      <c r="D5" s="34" t="s">
        <v>27</v>
      </c>
      <c r="E5" s="34" t="s">
        <v>55</v>
      </c>
      <c r="F5" s="34" t="s">
        <v>56</v>
      </c>
      <c r="G5" s="34" t="s">
        <v>57</v>
      </c>
      <c r="H5" s="34" t="s">
        <v>39</v>
      </c>
      <c r="I5" s="34" t="s">
        <v>40</v>
      </c>
      <c r="J5" s="34" t="s">
        <v>49</v>
      </c>
      <c r="K5" s="34" t="s">
        <v>58</v>
      </c>
      <c r="L5" s="34" t="s">
        <v>51</v>
      </c>
      <c r="M5" s="36"/>
      <c r="N5" s="36"/>
      <c r="O5" s="36"/>
      <c r="P5" s="36"/>
      <c r="Q5" s="36"/>
      <c r="R5" s="34" t="s">
        <v>59</v>
      </c>
      <c r="S5" s="34" t="s">
        <v>45</v>
      </c>
    </row>
    <row r="6">
      <c r="A6" s="31" t="s">
        <v>62</v>
      </c>
      <c r="B6" s="31" t="s">
        <v>63</v>
      </c>
      <c r="C6" s="32">
        <v>44562.0</v>
      </c>
      <c r="D6" s="31" t="s">
        <v>27</v>
      </c>
      <c r="E6" s="31" t="s">
        <v>55</v>
      </c>
      <c r="F6" s="31" t="s">
        <v>56</v>
      </c>
      <c r="G6" s="31" t="s">
        <v>57</v>
      </c>
      <c r="H6" s="31" t="s">
        <v>39</v>
      </c>
      <c r="I6" s="31" t="s">
        <v>40</v>
      </c>
      <c r="J6" s="31" t="s">
        <v>49</v>
      </c>
      <c r="K6" s="31" t="s">
        <v>58</v>
      </c>
      <c r="L6" s="31" t="s">
        <v>51</v>
      </c>
      <c r="M6" s="33"/>
      <c r="N6" s="33"/>
      <c r="O6" s="33"/>
      <c r="P6" s="33"/>
      <c r="Q6" s="33"/>
      <c r="R6" s="31" t="s">
        <v>59</v>
      </c>
      <c r="S6" s="31" t="s">
        <v>45</v>
      </c>
    </row>
    <row r="7">
      <c r="A7" s="34" t="s">
        <v>64</v>
      </c>
      <c r="B7" s="34" t="s">
        <v>65</v>
      </c>
      <c r="C7" s="35">
        <v>44562.0</v>
      </c>
      <c r="D7" s="34" t="s">
        <v>27</v>
      </c>
      <c r="E7" s="34" t="s">
        <v>55</v>
      </c>
      <c r="F7" s="34" t="s">
        <v>56</v>
      </c>
      <c r="G7" s="34" t="s">
        <v>57</v>
      </c>
      <c r="H7" s="34" t="s">
        <v>39</v>
      </c>
      <c r="I7" s="34" t="s">
        <v>40</v>
      </c>
      <c r="J7" s="34" t="s">
        <v>66</v>
      </c>
      <c r="K7" s="34" t="s">
        <v>67</v>
      </c>
      <c r="L7" s="34" t="s">
        <v>51</v>
      </c>
      <c r="M7" s="36"/>
      <c r="N7" s="36"/>
      <c r="O7" s="36"/>
      <c r="P7" s="36"/>
      <c r="Q7" s="36"/>
      <c r="R7" s="34" t="s">
        <v>68</v>
      </c>
      <c r="S7" s="34" t="s">
        <v>45</v>
      </c>
    </row>
    <row r="8">
      <c r="A8" s="31" t="s">
        <v>69</v>
      </c>
      <c r="B8" s="31" t="s">
        <v>70</v>
      </c>
      <c r="C8" s="32">
        <v>44562.0</v>
      </c>
      <c r="D8" s="31" t="s">
        <v>27</v>
      </c>
      <c r="E8" s="31" t="s">
        <v>55</v>
      </c>
      <c r="F8" s="31" t="s">
        <v>56</v>
      </c>
      <c r="G8" s="31" t="s">
        <v>57</v>
      </c>
      <c r="H8" s="31" t="s">
        <v>39</v>
      </c>
      <c r="I8" s="31" t="s">
        <v>40</v>
      </c>
      <c r="J8" s="31" t="s">
        <v>41</v>
      </c>
      <c r="K8" s="31" t="s">
        <v>71</v>
      </c>
      <c r="L8" s="31" t="s">
        <v>43</v>
      </c>
      <c r="M8" s="33"/>
      <c r="N8" s="33"/>
      <c r="O8" s="33"/>
      <c r="P8" s="33"/>
      <c r="Q8" s="33"/>
      <c r="R8" s="31" t="s">
        <v>72</v>
      </c>
      <c r="S8" s="31" t="s">
        <v>45</v>
      </c>
    </row>
    <row r="9">
      <c r="A9" s="34" t="s">
        <v>73</v>
      </c>
      <c r="B9" s="34" t="s">
        <v>74</v>
      </c>
      <c r="C9" s="35">
        <v>44562.0</v>
      </c>
      <c r="D9" s="34" t="s">
        <v>27</v>
      </c>
      <c r="E9" s="34" t="s">
        <v>55</v>
      </c>
      <c r="F9" s="34" t="s">
        <v>56</v>
      </c>
      <c r="G9" s="34" t="s">
        <v>57</v>
      </c>
      <c r="H9" s="34" t="s">
        <v>39</v>
      </c>
      <c r="I9" s="34" t="s">
        <v>40</v>
      </c>
      <c r="J9" s="34" t="s">
        <v>49</v>
      </c>
      <c r="K9" s="34" t="s">
        <v>58</v>
      </c>
      <c r="L9" s="34" t="s">
        <v>51</v>
      </c>
      <c r="M9" s="36"/>
      <c r="N9" s="36"/>
      <c r="O9" s="36"/>
      <c r="P9" s="36"/>
      <c r="Q9" s="36"/>
      <c r="R9" s="34" t="s">
        <v>59</v>
      </c>
      <c r="S9" s="34" t="s">
        <v>45</v>
      </c>
    </row>
    <row r="10">
      <c r="A10" s="31" t="s">
        <v>75</v>
      </c>
      <c r="B10" s="31" t="s">
        <v>76</v>
      </c>
      <c r="C10" s="32">
        <v>44562.0</v>
      </c>
      <c r="D10" s="31" t="s">
        <v>27</v>
      </c>
      <c r="E10" s="31" t="s">
        <v>55</v>
      </c>
      <c r="F10" s="31" t="s">
        <v>56</v>
      </c>
      <c r="G10" s="31" t="s">
        <v>57</v>
      </c>
      <c r="H10" s="31" t="s">
        <v>39</v>
      </c>
      <c r="I10" s="31" t="s">
        <v>40</v>
      </c>
      <c r="J10" s="31" t="s">
        <v>49</v>
      </c>
      <c r="K10" s="31" t="s">
        <v>58</v>
      </c>
      <c r="L10" s="31" t="s">
        <v>51</v>
      </c>
      <c r="M10" s="33"/>
      <c r="N10" s="33"/>
      <c r="O10" s="33"/>
      <c r="P10" s="33"/>
      <c r="Q10" s="33"/>
      <c r="R10" s="31" t="s">
        <v>59</v>
      </c>
      <c r="S10" s="31" t="s">
        <v>45</v>
      </c>
    </row>
    <row r="11">
      <c r="A11" s="34" t="s">
        <v>77</v>
      </c>
      <c r="B11" s="34" t="s">
        <v>78</v>
      </c>
      <c r="C11" s="35">
        <v>44197.0</v>
      </c>
      <c r="D11" s="34" t="s">
        <v>27</v>
      </c>
      <c r="E11" s="34" t="s">
        <v>55</v>
      </c>
      <c r="F11" s="34" t="s">
        <v>79</v>
      </c>
      <c r="G11" s="34" t="s">
        <v>57</v>
      </c>
      <c r="H11" s="34" t="s">
        <v>39</v>
      </c>
      <c r="I11" s="34" t="s">
        <v>40</v>
      </c>
      <c r="J11" s="34" t="s">
        <v>80</v>
      </c>
      <c r="K11" s="34" t="s">
        <v>43</v>
      </c>
      <c r="L11" s="34" t="s">
        <v>43</v>
      </c>
      <c r="M11" s="36"/>
      <c r="N11" s="36"/>
      <c r="O11" s="36"/>
      <c r="P11" s="36"/>
      <c r="Q11" s="36"/>
      <c r="R11" s="34" t="s">
        <v>81</v>
      </c>
      <c r="S11" s="34" t="s">
        <v>45</v>
      </c>
    </row>
    <row r="12">
      <c r="A12" s="31" t="s">
        <v>82</v>
      </c>
      <c r="B12" s="31" t="s">
        <v>83</v>
      </c>
      <c r="C12" s="32">
        <v>44562.0</v>
      </c>
      <c r="D12" s="31" t="s">
        <v>27</v>
      </c>
      <c r="E12" s="31" t="s">
        <v>55</v>
      </c>
      <c r="F12" s="31" t="s">
        <v>56</v>
      </c>
      <c r="G12" s="31" t="s">
        <v>57</v>
      </c>
      <c r="H12" s="31" t="s">
        <v>39</v>
      </c>
      <c r="I12" s="31" t="s">
        <v>40</v>
      </c>
      <c r="J12" s="31" t="s">
        <v>41</v>
      </c>
      <c r="K12" s="31" t="s">
        <v>84</v>
      </c>
      <c r="L12" s="31" t="s">
        <v>51</v>
      </c>
      <c r="M12" s="33"/>
      <c r="N12" s="33"/>
      <c r="O12" s="33"/>
      <c r="P12" s="33"/>
      <c r="Q12" s="33"/>
      <c r="R12" s="31" t="s">
        <v>85</v>
      </c>
      <c r="S12" s="31" t="s">
        <v>45</v>
      </c>
    </row>
    <row r="13">
      <c r="A13" s="34" t="s">
        <v>86</v>
      </c>
      <c r="B13" s="34" t="s">
        <v>87</v>
      </c>
      <c r="C13" s="35">
        <v>44562.0</v>
      </c>
      <c r="D13" s="34" t="s">
        <v>27</v>
      </c>
      <c r="E13" s="34" t="s">
        <v>55</v>
      </c>
      <c r="F13" s="34" t="s">
        <v>56</v>
      </c>
      <c r="G13" s="34" t="s">
        <v>57</v>
      </c>
      <c r="H13" s="34" t="s">
        <v>39</v>
      </c>
      <c r="I13" s="34" t="s">
        <v>40</v>
      </c>
      <c r="J13" s="34" t="s">
        <v>41</v>
      </c>
      <c r="K13" s="34" t="s">
        <v>84</v>
      </c>
      <c r="L13" s="34" t="s">
        <v>51</v>
      </c>
      <c r="M13" s="36"/>
      <c r="N13" s="36"/>
      <c r="O13" s="36"/>
      <c r="P13" s="36"/>
      <c r="Q13" s="36"/>
      <c r="R13" s="34" t="s">
        <v>85</v>
      </c>
      <c r="S13" s="34" t="s">
        <v>45</v>
      </c>
    </row>
    <row r="14">
      <c r="A14" s="31" t="s">
        <v>86</v>
      </c>
      <c r="B14" s="31" t="s">
        <v>87</v>
      </c>
      <c r="C14" s="32">
        <v>44562.0</v>
      </c>
      <c r="D14" s="31" t="s">
        <v>27</v>
      </c>
      <c r="E14" s="31" t="s">
        <v>55</v>
      </c>
      <c r="F14" s="31" t="s">
        <v>56</v>
      </c>
      <c r="G14" s="31" t="s">
        <v>57</v>
      </c>
      <c r="H14" s="31" t="s">
        <v>39</v>
      </c>
      <c r="I14" s="31" t="s">
        <v>40</v>
      </c>
      <c r="J14" s="31" t="s">
        <v>41</v>
      </c>
      <c r="K14" s="31" t="s">
        <v>84</v>
      </c>
      <c r="L14" s="31" t="s">
        <v>51</v>
      </c>
      <c r="M14" s="33"/>
      <c r="N14" s="33"/>
      <c r="O14" s="33"/>
      <c r="P14" s="33"/>
      <c r="Q14" s="33"/>
      <c r="R14" s="31" t="s">
        <v>85</v>
      </c>
      <c r="S14" s="31" t="s">
        <v>45</v>
      </c>
    </row>
    <row r="15">
      <c r="A15" s="34" t="s">
        <v>88</v>
      </c>
      <c r="B15" s="34" t="s">
        <v>89</v>
      </c>
      <c r="C15" s="35">
        <v>44562.0</v>
      </c>
      <c r="D15" s="34" t="s">
        <v>27</v>
      </c>
      <c r="E15" s="34" t="s">
        <v>55</v>
      </c>
      <c r="F15" s="34" t="s">
        <v>56</v>
      </c>
      <c r="G15" s="34" t="s">
        <v>57</v>
      </c>
      <c r="H15" s="34" t="s">
        <v>39</v>
      </c>
      <c r="I15" s="34" t="s">
        <v>40</v>
      </c>
      <c r="J15" s="34" t="s">
        <v>41</v>
      </c>
      <c r="K15" s="34" t="s">
        <v>84</v>
      </c>
      <c r="L15" s="34" t="s">
        <v>51</v>
      </c>
      <c r="M15" s="36"/>
      <c r="N15" s="36"/>
      <c r="O15" s="36"/>
      <c r="P15" s="36"/>
      <c r="Q15" s="36"/>
      <c r="R15" s="34" t="s">
        <v>85</v>
      </c>
      <c r="S15" s="34" t="s">
        <v>45</v>
      </c>
    </row>
    <row r="16">
      <c r="A16" s="31" t="s">
        <v>90</v>
      </c>
      <c r="B16" s="31" t="s">
        <v>91</v>
      </c>
      <c r="C16" s="32">
        <v>44562.0</v>
      </c>
      <c r="D16" s="31" t="s">
        <v>27</v>
      </c>
      <c r="E16" s="31" t="s">
        <v>55</v>
      </c>
      <c r="F16" s="31" t="s">
        <v>56</v>
      </c>
      <c r="G16" s="31" t="s">
        <v>57</v>
      </c>
      <c r="H16" s="31" t="s">
        <v>39</v>
      </c>
      <c r="I16" s="31" t="s">
        <v>40</v>
      </c>
      <c r="J16" s="31" t="s">
        <v>41</v>
      </c>
      <c r="K16" s="31" t="s">
        <v>84</v>
      </c>
      <c r="L16" s="31" t="s">
        <v>51</v>
      </c>
      <c r="M16" s="33"/>
      <c r="N16" s="33"/>
      <c r="O16" s="33"/>
      <c r="P16" s="33"/>
      <c r="Q16" s="33"/>
      <c r="R16" s="31" t="s">
        <v>85</v>
      </c>
      <c r="S16" s="31" t="s">
        <v>45</v>
      </c>
    </row>
    <row r="17">
      <c r="A17" s="34" t="s">
        <v>92</v>
      </c>
      <c r="B17" s="34" t="s">
        <v>93</v>
      </c>
      <c r="C17" s="35">
        <v>44927.0</v>
      </c>
      <c r="D17" s="34" t="s">
        <v>27</v>
      </c>
      <c r="E17" s="34" t="s">
        <v>55</v>
      </c>
      <c r="F17" s="34" t="s">
        <v>94</v>
      </c>
      <c r="G17" s="34" t="s">
        <v>57</v>
      </c>
      <c r="H17" s="34" t="s">
        <v>39</v>
      </c>
      <c r="I17" s="34" t="s">
        <v>40</v>
      </c>
      <c r="J17" s="34" t="s">
        <v>49</v>
      </c>
      <c r="K17" s="34" t="s">
        <v>95</v>
      </c>
      <c r="L17" s="34" t="s">
        <v>51</v>
      </c>
      <c r="M17" s="36"/>
      <c r="N17" s="36"/>
      <c r="O17" s="36"/>
      <c r="P17" s="36"/>
      <c r="Q17" s="36"/>
      <c r="R17" s="34" t="s">
        <v>96</v>
      </c>
      <c r="S17" s="34" t="s">
        <v>45</v>
      </c>
    </row>
    <row r="18">
      <c r="A18" s="31" t="s">
        <v>97</v>
      </c>
      <c r="B18" s="31" t="s">
        <v>98</v>
      </c>
      <c r="C18" s="32">
        <v>45292.0</v>
      </c>
      <c r="D18" s="31" t="s">
        <v>27</v>
      </c>
      <c r="E18" s="31" t="s">
        <v>55</v>
      </c>
      <c r="F18" s="31" t="s">
        <v>99</v>
      </c>
      <c r="G18" s="31" t="s">
        <v>57</v>
      </c>
      <c r="H18" s="31" t="s">
        <v>39</v>
      </c>
      <c r="I18" s="31" t="s">
        <v>100</v>
      </c>
      <c r="J18" s="31" t="s">
        <v>41</v>
      </c>
      <c r="K18" s="31" t="s">
        <v>101</v>
      </c>
      <c r="L18" s="31" t="s">
        <v>102</v>
      </c>
      <c r="M18" s="33"/>
      <c r="N18" s="33"/>
      <c r="O18" s="33"/>
      <c r="P18" s="33"/>
      <c r="Q18" s="33"/>
      <c r="R18" s="31" t="s">
        <v>103</v>
      </c>
      <c r="S18" s="31" t="s">
        <v>45</v>
      </c>
    </row>
    <row r="19">
      <c r="A19" s="34" t="s">
        <v>104</v>
      </c>
      <c r="B19" s="34" t="s">
        <v>105</v>
      </c>
      <c r="C19" s="35">
        <v>45292.0</v>
      </c>
      <c r="D19" s="34" t="s">
        <v>27</v>
      </c>
      <c r="E19" s="34" t="s">
        <v>106</v>
      </c>
      <c r="F19" s="34" t="s">
        <v>99</v>
      </c>
      <c r="G19" s="34" t="s">
        <v>57</v>
      </c>
      <c r="H19" s="34" t="s">
        <v>39</v>
      </c>
      <c r="I19" s="34" t="s">
        <v>40</v>
      </c>
      <c r="J19" s="34" t="s">
        <v>41</v>
      </c>
      <c r="K19" s="34" t="s">
        <v>84</v>
      </c>
      <c r="L19" s="34" t="s">
        <v>51</v>
      </c>
      <c r="M19" s="36"/>
      <c r="N19" s="36"/>
      <c r="O19" s="36"/>
      <c r="P19" s="36"/>
      <c r="Q19" s="36"/>
      <c r="R19" s="34" t="s">
        <v>107</v>
      </c>
      <c r="S19" s="34" t="s">
        <v>45</v>
      </c>
    </row>
    <row r="20">
      <c r="A20" s="31" t="s">
        <v>108</v>
      </c>
      <c r="B20" s="31" t="s">
        <v>109</v>
      </c>
      <c r="C20" s="32">
        <v>45292.0</v>
      </c>
      <c r="D20" s="31" t="s">
        <v>27</v>
      </c>
      <c r="E20" s="31" t="s">
        <v>110</v>
      </c>
      <c r="F20" s="31" t="s">
        <v>111</v>
      </c>
      <c r="G20" s="31" t="s">
        <v>112</v>
      </c>
      <c r="H20" s="31" t="s">
        <v>39</v>
      </c>
      <c r="I20" s="31" t="s">
        <v>113</v>
      </c>
      <c r="J20" s="31" t="s">
        <v>49</v>
      </c>
      <c r="K20" s="31" t="s">
        <v>114</v>
      </c>
      <c r="L20" s="31" t="s">
        <v>51</v>
      </c>
      <c r="M20" s="33"/>
      <c r="N20" s="33"/>
      <c r="O20" s="33"/>
      <c r="P20" s="33"/>
      <c r="Q20" s="33"/>
      <c r="R20" s="31" t="s">
        <v>115</v>
      </c>
      <c r="S20" s="31" t="s">
        <v>45</v>
      </c>
    </row>
    <row r="21">
      <c r="A21" s="34" t="s">
        <v>116</v>
      </c>
      <c r="B21" s="34" t="s">
        <v>117</v>
      </c>
      <c r="C21" s="35">
        <v>45292.0</v>
      </c>
      <c r="D21" s="34" t="s">
        <v>27</v>
      </c>
      <c r="E21" s="34" t="s">
        <v>110</v>
      </c>
      <c r="F21" s="34" t="s">
        <v>111</v>
      </c>
      <c r="G21" s="34" t="s">
        <v>112</v>
      </c>
      <c r="H21" s="34" t="s">
        <v>39</v>
      </c>
      <c r="I21" s="34" t="s">
        <v>40</v>
      </c>
      <c r="J21" s="34" t="s">
        <v>41</v>
      </c>
      <c r="K21" s="34" t="s">
        <v>118</v>
      </c>
      <c r="L21" s="34" t="s">
        <v>43</v>
      </c>
      <c r="M21" s="36"/>
      <c r="N21" s="36"/>
      <c r="O21" s="36"/>
      <c r="P21" s="36"/>
      <c r="Q21" s="36"/>
      <c r="R21" s="34" t="s">
        <v>119</v>
      </c>
      <c r="S21" s="34" t="s">
        <v>45</v>
      </c>
    </row>
    <row r="22">
      <c r="A22" s="31" t="s">
        <v>120</v>
      </c>
      <c r="B22" s="31" t="s">
        <v>117</v>
      </c>
      <c r="C22" s="32">
        <v>44927.0</v>
      </c>
      <c r="D22" s="31" t="s">
        <v>27</v>
      </c>
      <c r="E22" s="31" t="s">
        <v>110</v>
      </c>
      <c r="F22" s="31" t="s">
        <v>121</v>
      </c>
      <c r="G22" s="31" t="s">
        <v>112</v>
      </c>
      <c r="H22" s="31" t="s">
        <v>39</v>
      </c>
      <c r="I22" s="31" t="s">
        <v>40</v>
      </c>
      <c r="J22" s="31" t="s">
        <v>41</v>
      </c>
      <c r="K22" s="31" t="s">
        <v>118</v>
      </c>
      <c r="L22" s="31" t="s">
        <v>43</v>
      </c>
      <c r="M22" s="33"/>
      <c r="N22" s="33"/>
      <c r="O22" s="33"/>
      <c r="P22" s="33"/>
      <c r="Q22" s="33"/>
      <c r="R22" s="31" t="s">
        <v>119</v>
      </c>
      <c r="S22" s="31" t="s">
        <v>45</v>
      </c>
    </row>
    <row r="23">
      <c r="A23" s="34" t="s">
        <v>122</v>
      </c>
      <c r="B23" s="34" t="s">
        <v>123</v>
      </c>
      <c r="C23" s="35">
        <v>43031.0</v>
      </c>
      <c r="D23" s="34" t="s">
        <v>124</v>
      </c>
      <c r="E23" s="34" t="s">
        <v>110</v>
      </c>
      <c r="F23" s="34" t="s">
        <v>125</v>
      </c>
      <c r="G23" s="34" t="s">
        <v>126</v>
      </c>
      <c r="H23" s="34" t="s">
        <v>127</v>
      </c>
      <c r="I23" s="34" t="s">
        <v>40</v>
      </c>
      <c r="J23" s="34" t="s">
        <v>49</v>
      </c>
      <c r="K23" s="34" t="s">
        <v>128</v>
      </c>
      <c r="L23" s="34" t="s">
        <v>51</v>
      </c>
      <c r="M23" s="36"/>
      <c r="N23" s="36"/>
      <c r="O23" s="36"/>
      <c r="P23" s="36"/>
      <c r="Q23" s="37">
        <v>2200.0</v>
      </c>
      <c r="R23" s="34" t="s">
        <v>129</v>
      </c>
      <c r="S23" s="34" t="s">
        <v>130</v>
      </c>
    </row>
    <row r="24">
      <c r="A24" s="31" t="s">
        <v>131</v>
      </c>
      <c r="B24" s="31" t="s">
        <v>132</v>
      </c>
      <c r="C24" s="32">
        <v>74261.0</v>
      </c>
      <c r="D24" s="31" t="s">
        <v>124</v>
      </c>
      <c r="E24" s="31" t="s">
        <v>133</v>
      </c>
      <c r="F24" s="31" t="s">
        <v>134</v>
      </c>
      <c r="G24" s="31" t="s">
        <v>135</v>
      </c>
      <c r="H24" s="31" t="s">
        <v>127</v>
      </c>
      <c r="I24" s="31" t="s">
        <v>40</v>
      </c>
      <c r="J24" s="31" t="s">
        <v>49</v>
      </c>
      <c r="K24" s="31" t="s">
        <v>136</v>
      </c>
      <c r="L24" s="31" t="s">
        <v>137</v>
      </c>
      <c r="M24" s="33"/>
      <c r="N24" s="33"/>
      <c r="O24" s="33"/>
      <c r="P24" s="33"/>
      <c r="Q24" s="38">
        <v>656.0</v>
      </c>
      <c r="R24" s="31" t="s">
        <v>138</v>
      </c>
      <c r="S24" s="31" t="s">
        <v>139</v>
      </c>
    </row>
    <row r="25">
      <c r="A25" s="34" t="s">
        <v>140</v>
      </c>
      <c r="B25" s="34" t="s">
        <v>141</v>
      </c>
      <c r="C25" s="35">
        <v>42005.0</v>
      </c>
      <c r="D25" s="34" t="s">
        <v>142</v>
      </c>
      <c r="E25" s="34" t="s">
        <v>133</v>
      </c>
      <c r="F25" s="34" t="s">
        <v>143</v>
      </c>
      <c r="G25" s="34" t="s">
        <v>144</v>
      </c>
      <c r="H25" s="34" t="s">
        <v>127</v>
      </c>
      <c r="I25" s="34" t="s">
        <v>145</v>
      </c>
      <c r="J25" s="34" t="s">
        <v>66</v>
      </c>
      <c r="K25" s="34" t="s">
        <v>146</v>
      </c>
      <c r="L25" s="34" t="s">
        <v>147</v>
      </c>
      <c r="M25" s="36"/>
      <c r="N25" s="36"/>
      <c r="O25" s="36"/>
      <c r="P25" s="36"/>
      <c r="Q25" s="37">
        <v>13000.0</v>
      </c>
      <c r="R25" s="34" t="s">
        <v>148</v>
      </c>
      <c r="S25" s="34" t="s">
        <v>149</v>
      </c>
    </row>
    <row r="26">
      <c r="A26" s="31" t="s">
        <v>150</v>
      </c>
      <c r="B26" s="31" t="s">
        <v>151</v>
      </c>
      <c r="C26" s="32">
        <v>44952.0</v>
      </c>
      <c r="D26" s="31" t="s">
        <v>124</v>
      </c>
      <c r="E26" s="31" t="s">
        <v>133</v>
      </c>
      <c r="F26" s="31" t="s">
        <v>152</v>
      </c>
      <c r="G26" s="31" t="s">
        <v>153</v>
      </c>
      <c r="H26" s="31" t="s">
        <v>127</v>
      </c>
      <c r="I26" s="31" t="s">
        <v>154</v>
      </c>
      <c r="J26" s="31" t="s">
        <v>49</v>
      </c>
      <c r="K26" s="31" t="s">
        <v>155</v>
      </c>
      <c r="L26" s="31" t="s">
        <v>137</v>
      </c>
      <c r="M26" s="33"/>
      <c r="N26" s="33"/>
      <c r="O26" s="33"/>
      <c r="P26" s="33"/>
      <c r="Q26" s="38">
        <v>16000.0</v>
      </c>
      <c r="R26" s="31" t="s">
        <v>156</v>
      </c>
      <c r="S26" s="31" t="s">
        <v>157</v>
      </c>
    </row>
    <row r="27">
      <c r="A27" s="34" t="s">
        <v>158</v>
      </c>
      <c r="B27" s="34" t="s">
        <v>159</v>
      </c>
      <c r="C27" s="35">
        <v>44562.0</v>
      </c>
      <c r="D27" s="34" t="s">
        <v>160</v>
      </c>
      <c r="E27" s="34" t="s">
        <v>161</v>
      </c>
      <c r="F27" s="34" t="s">
        <v>162</v>
      </c>
      <c r="G27" s="34" t="s">
        <v>163</v>
      </c>
      <c r="H27" s="34" t="s">
        <v>127</v>
      </c>
      <c r="I27" s="34" t="s">
        <v>40</v>
      </c>
      <c r="J27" s="34" t="s">
        <v>49</v>
      </c>
      <c r="K27" s="34" t="s">
        <v>164</v>
      </c>
      <c r="L27" s="34" t="s">
        <v>51</v>
      </c>
      <c r="M27" s="36"/>
      <c r="N27" s="36"/>
      <c r="O27" s="36"/>
      <c r="P27" s="36"/>
      <c r="Q27" s="36"/>
      <c r="R27" s="34" t="s">
        <v>165</v>
      </c>
      <c r="S27" s="34" t="s">
        <v>166</v>
      </c>
    </row>
    <row r="28">
      <c r="A28" s="31" t="s">
        <v>167</v>
      </c>
      <c r="B28" s="31" t="s">
        <v>168</v>
      </c>
      <c r="C28" s="32">
        <v>42977.0</v>
      </c>
      <c r="D28" s="31" t="s">
        <v>124</v>
      </c>
      <c r="E28" s="31" t="s">
        <v>169</v>
      </c>
      <c r="F28" s="31" t="s">
        <v>170</v>
      </c>
      <c r="G28" s="31" t="s">
        <v>171</v>
      </c>
      <c r="H28" s="31" t="s">
        <v>127</v>
      </c>
      <c r="I28" s="31" t="s">
        <v>172</v>
      </c>
      <c r="J28" s="31" t="s">
        <v>49</v>
      </c>
      <c r="K28" s="31" t="s">
        <v>173</v>
      </c>
      <c r="L28" s="31" t="s">
        <v>51</v>
      </c>
      <c r="M28" s="33"/>
      <c r="N28" s="33"/>
      <c r="O28" s="33"/>
      <c r="P28" s="33"/>
      <c r="Q28" s="33"/>
      <c r="R28" s="31" t="s">
        <v>174</v>
      </c>
      <c r="S28" s="31" t="s">
        <v>175</v>
      </c>
    </row>
    <row r="29">
      <c r="A29" s="34" t="s">
        <v>176</v>
      </c>
      <c r="B29" s="34" t="s">
        <v>177</v>
      </c>
      <c r="C29" s="35">
        <v>44197.0</v>
      </c>
      <c r="D29" s="34" t="s">
        <v>27</v>
      </c>
      <c r="E29" s="34" t="s">
        <v>133</v>
      </c>
      <c r="F29" s="34" t="s">
        <v>178</v>
      </c>
      <c r="G29" s="34" t="s">
        <v>153</v>
      </c>
      <c r="H29" s="34" t="s">
        <v>127</v>
      </c>
      <c r="I29" s="34" t="s">
        <v>40</v>
      </c>
      <c r="J29" s="34" t="s">
        <v>49</v>
      </c>
      <c r="K29" s="34" t="s">
        <v>179</v>
      </c>
      <c r="L29" s="34" t="s">
        <v>51</v>
      </c>
      <c r="M29" s="36"/>
      <c r="N29" s="36"/>
      <c r="O29" s="36"/>
      <c r="P29" s="36"/>
      <c r="Q29" s="37">
        <v>40000.0</v>
      </c>
      <c r="R29" s="34" t="s">
        <v>180</v>
      </c>
      <c r="S29" s="34" t="s">
        <v>181</v>
      </c>
    </row>
    <row r="30">
      <c r="A30" s="31" t="s">
        <v>182</v>
      </c>
      <c r="B30" s="31" t="s">
        <v>183</v>
      </c>
      <c r="C30" s="32">
        <v>43435.0</v>
      </c>
      <c r="D30" s="31" t="s">
        <v>142</v>
      </c>
      <c r="E30" s="31" t="s">
        <v>55</v>
      </c>
      <c r="F30" s="31" t="s">
        <v>184</v>
      </c>
      <c r="G30" s="31" t="s">
        <v>185</v>
      </c>
      <c r="H30" s="31" t="s">
        <v>127</v>
      </c>
      <c r="I30" s="31" t="s">
        <v>186</v>
      </c>
      <c r="J30" s="31" t="s">
        <v>49</v>
      </c>
      <c r="K30" s="31" t="s">
        <v>58</v>
      </c>
      <c r="L30" s="31" t="s">
        <v>137</v>
      </c>
      <c r="M30" s="33"/>
      <c r="N30" s="33"/>
      <c r="O30" s="33"/>
      <c r="P30" s="33"/>
      <c r="Q30" s="38">
        <v>15000.0</v>
      </c>
      <c r="R30" s="31" t="s">
        <v>187</v>
      </c>
      <c r="S30" s="31" t="s">
        <v>188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13"/>
    <col customWidth="1" min="7" max="7" width="15.13"/>
    <col customWidth="1" min="11" max="11" width="15.13"/>
    <col customWidth="1" min="12" max="12" width="16.38"/>
    <col customWidth="1" min="14" max="15" width="14.13"/>
    <col customWidth="1" min="16" max="16" width="15.63"/>
    <col customWidth="1" min="17" max="17" width="17.88"/>
    <col customWidth="1" min="18" max="18" width="28.25"/>
    <col customWidth="1" min="19" max="19" width="30.88"/>
  </cols>
  <sheetData>
    <row r="1">
      <c r="A1" s="39" t="s">
        <v>15</v>
      </c>
      <c r="B1" s="39" t="s">
        <v>16</v>
      </c>
      <c r="C1" s="39" t="s">
        <v>17</v>
      </c>
      <c r="D1" s="39" t="s">
        <v>18</v>
      </c>
      <c r="E1" s="39" t="s">
        <v>19</v>
      </c>
      <c r="F1" s="39" t="s">
        <v>20</v>
      </c>
      <c r="G1" s="39" t="s">
        <v>21</v>
      </c>
      <c r="H1" s="39" t="s">
        <v>22</v>
      </c>
      <c r="I1" s="39" t="s">
        <v>23</v>
      </c>
      <c r="J1" s="39" t="s">
        <v>24</v>
      </c>
      <c r="K1" s="39" t="s">
        <v>25</v>
      </c>
      <c r="L1" s="39" t="s">
        <v>26</v>
      </c>
      <c r="M1" s="40" t="s">
        <v>27</v>
      </c>
      <c r="N1" s="39" t="s">
        <v>28</v>
      </c>
      <c r="O1" s="39" t="s">
        <v>29</v>
      </c>
      <c r="P1" s="39" t="s">
        <v>30</v>
      </c>
      <c r="Q1" s="39" t="s">
        <v>31</v>
      </c>
      <c r="R1" s="39" t="s">
        <v>32</v>
      </c>
      <c r="S1" s="39" t="s">
        <v>33</v>
      </c>
    </row>
    <row r="2">
      <c r="A2" s="41" t="s">
        <v>34</v>
      </c>
      <c r="B2" s="41" t="s">
        <v>35</v>
      </c>
      <c r="C2" s="42">
        <v>44562.0</v>
      </c>
      <c r="D2" s="43" t="s">
        <v>27</v>
      </c>
      <c r="E2" s="41" t="s">
        <v>36</v>
      </c>
      <c r="F2" s="41" t="s">
        <v>37</v>
      </c>
      <c r="G2" s="41" t="s">
        <v>38</v>
      </c>
      <c r="H2" s="41" t="s">
        <v>39</v>
      </c>
      <c r="I2" s="41" t="s">
        <v>40</v>
      </c>
      <c r="J2" s="44" t="s">
        <v>41</v>
      </c>
      <c r="K2" s="41" t="s">
        <v>42</v>
      </c>
      <c r="L2" s="41" t="s">
        <v>43</v>
      </c>
      <c r="M2" s="45">
        <f t="shared" ref="M2:M28" si="1">YEAR(C3)</f>
        <v>2024</v>
      </c>
      <c r="N2" s="46">
        <f t="shared" ref="N2:N29" si="2">IF(J2="Open",1,0)</f>
        <v>0</v>
      </c>
      <c r="O2" s="46">
        <f t="shared" ref="O2:O29" si="3">MIN(5,IF(L2="High",4,IF(L2="Moderate",3,2))+IF(OR(ISNUMBER(SEARCH("radar",I2)),ISNUMBER(SEARCH("visual",I2)),ISNUMBER(SEARCH("Satellite",I2))),1,0))</f>
        <v>2</v>
      </c>
      <c r="P2" s="46" t="str">
        <f t="shared" ref="P2:P29" si="4">IF(O2&gt;=5,"Very High",IF(O2=4,"High",IF(O2=3,"Medium","Low")))</f>
        <v>Low</v>
      </c>
      <c r="Q2" s="47"/>
      <c r="R2" s="41" t="s">
        <v>44</v>
      </c>
      <c r="S2" s="48" t="s">
        <v>45</v>
      </c>
    </row>
    <row r="3">
      <c r="A3" s="49" t="s">
        <v>46</v>
      </c>
      <c r="B3" s="49" t="s">
        <v>47</v>
      </c>
      <c r="C3" s="50">
        <v>45292.0</v>
      </c>
      <c r="D3" s="43" t="s">
        <v>27</v>
      </c>
      <c r="E3" s="49" t="s">
        <v>36</v>
      </c>
      <c r="F3" s="49" t="s">
        <v>48</v>
      </c>
      <c r="G3" s="49" t="s">
        <v>38</v>
      </c>
      <c r="H3" s="49" t="s">
        <v>39</v>
      </c>
      <c r="I3" s="49" t="s">
        <v>40</v>
      </c>
      <c r="J3" s="44" t="s">
        <v>49</v>
      </c>
      <c r="K3" s="49" t="s">
        <v>50</v>
      </c>
      <c r="L3" s="49" t="s">
        <v>51</v>
      </c>
      <c r="M3" s="45">
        <f t="shared" si="1"/>
        <v>2022</v>
      </c>
      <c r="N3" s="46">
        <f t="shared" si="2"/>
        <v>0</v>
      </c>
      <c r="O3" s="46">
        <f t="shared" si="3"/>
        <v>4</v>
      </c>
      <c r="P3" s="46" t="str">
        <f t="shared" si="4"/>
        <v>High</v>
      </c>
      <c r="Q3" s="47"/>
      <c r="R3" s="49" t="s">
        <v>52</v>
      </c>
      <c r="S3" s="51" t="s">
        <v>45</v>
      </c>
    </row>
    <row r="4">
      <c r="A4" s="52" t="s">
        <v>53</v>
      </c>
      <c r="B4" s="52" t="s">
        <v>54</v>
      </c>
      <c r="C4" s="53">
        <v>44562.0</v>
      </c>
      <c r="D4" s="43" t="s">
        <v>27</v>
      </c>
      <c r="E4" s="52" t="s">
        <v>55</v>
      </c>
      <c r="F4" s="52" t="s">
        <v>56</v>
      </c>
      <c r="G4" s="52" t="s">
        <v>57</v>
      </c>
      <c r="H4" s="52" t="s">
        <v>39</v>
      </c>
      <c r="I4" s="52" t="s">
        <v>40</v>
      </c>
      <c r="J4" s="52" t="s">
        <v>49</v>
      </c>
      <c r="K4" s="52" t="s">
        <v>58</v>
      </c>
      <c r="L4" s="52" t="s">
        <v>51</v>
      </c>
      <c r="M4" s="45">
        <f t="shared" si="1"/>
        <v>2022</v>
      </c>
      <c r="N4" s="46">
        <f t="shared" si="2"/>
        <v>0</v>
      </c>
      <c r="O4" s="46">
        <f t="shared" si="3"/>
        <v>4</v>
      </c>
      <c r="P4" s="46" t="str">
        <f t="shared" si="4"/>
        <v>High</v>
      </c>
      <c r="Q4" s="47"/>
      <c r="R4" s="52" t="s">
        <v>59</v>
      </c>
      <c r="S4" s="54" t="s">
        <v>45</v>
      </c>
    </row>
    <row r="5">
      <c r="A5" s="49" t="s">
        <v>60</v>
      </c>
      <c r="B5" s="49" t="s">
        <v>61</v>
      </c>
      <c r="C5" s="50">
        <v>44562.0</v>
      </c>
      <c r="D5" s="43" t="s">
        <v>27</v>
      </c>
      <c r="E5" s="49" t="s">
        <v>55</v>
      </c>
      <c r="F5" s="49" t="s">
        <v>56</v>
      </c>
      <c r="G5" s="49" t="s">
        <v>57</v>
      </c>
      <c r="H5" s="49" t="s">
        <v>39</v>
      </c>
      <c r="I5" s="49" t="s">
        <v>40</v>
      </c>
      <c r="J5" s="52" t="s">
        <v>49</v>
      </c>
      <c r="K5" s="49" t="s">
        <v>58</v>
      </c>
      <c r="L5" s="49" t="s">
        <v>51</v>
      </c>
      <c r="M5" s="45">
        <f t="shared" si="1"/>
        <v>2022</v>
      </c>
      <c r="N5" s="46">
        <f t="shared" si="2"/>
        <v>0</v>
      </c>
      <c r="O5" s="46">
        <f t="shared" si="3"/>
        <v>4</v>
      </c>
      <c r="P5" s="46" t="str">
        <f t="shared" si="4"/>
        <v>High</v>
      </c>
      <c r="Q5" s="47"/>
      <c r="R5" s="49" t="s">
        <v>59</v>
      </c>
      <c r="S5" s="51" t="s">
        <v>45</v>
      </c>
    </row>
    <row r="6">
      <c r="A6" s="52" t="s">
        <v>62</v>
      </c>
      <c r="B6" s="52" t="s">
        <v>63</v>
      </c>
      <c r="C6" s="53">
        <v>44562.0</v>
      </c>
      <c r="D6" s="43" t="s">
        <v>27</v>
      </c>
      <c r="E6" s="52" t="s">
        <v>55</v>
      </c>
      <c r="F6" s="52" t="s">
        <v>56</v>
      </c>
      <c r="G6" s="52" t="s">
        <v>57</v>
      </c>
      <c r="H6" s="52" t="s">
        <v>39</v>
      </c>
      <c r="I6" s="52" t="s">
        <v>40</v>
      </c>
      <c r="J6" s="52" t="s">
        <v>49</v>
      </c>
      <c r="K6" s="52" t="s">
        <v>58</v>
      </c>
      <c r="L6" s="52" t="s">
        <v>51</v>
      </c>
      <c r="M6" s="45">
        <f t="shared" si="1"/>
        <v>2022</v>
      </c>
      <c r="N6" s="46">
        <f t="shared" si="2"/>
        <v>0</v>
      </c>
      <c r="O6" s="46">
        <f t="shared" si="3"/>
        <v>4</v>
      </c>
      <c r="P6" s="46" t="str">
        <f t="shared" si="4"/>
        <v>High</v>
      </c>
      <c r="Q6" s="47"/>
      <c r="R6" s="52" t="s">
        <v>59</v>
      </c>
      <c r="S6" s="54" t="s">
        <v>45</v>
      </c>
    </row>
    <row r="7">
      <c r="A7" s="49" t="s">
        <v>64</v>
      </c>
      <c r="B7" s="49" t="s">
        <v>65</v>
      </c>
      <c r="C7" s="50">
        <v>44562.0</v>
      </c>
      <c r="D7" s="43" t="s">
        <v>27</v>
      </c>
      <c r="E7" s="49" t="s">
        <v>55</v>
      </c>
      <c r="F7" s="49" t="s">
        <v>56</v>
      </c>
      <c r="G7" s="49" t="s">
        <v>57</v>
      </c>
      <c r="H7" s="49" t="s">
        <v>39</v>
      </c>
      <c r="I7" s="49" t="s">
        <v>40</v>
      </c>
      <c r="J7" s="44" t="s">
        <v>66</v>
      </c>
      <c r="K7" s="49" t="s">
        <v>67</v>
      </c>
      <c r="L7" s="49" t="s">
        <v>51</v>
      </c>
      <c r="M7" s="45">
        <f t="shared" si="1"/>
        <v>2022</v>
      </c>
      <c r="N7" s="46">
        <f t="shared" si="2"/>
        <v>0</v>
      </c>
      <c r="O7" s="46">
        <f t="shared" si="3"/>
        <v>4</v>
      </c>
      <c r="P7" s="46" t="str">
        <f t="shared" si="4"/>
        <v>High</v>
      </c>
      <c r="Q7" s="47"/>
      <c r="R7" s="49" t="s">
        <v>68</v>
      </c>
      <c r="S7" s="55" t="s">
        <v>189</v>
      </c>
    </row>
    <row r="8">
      <c r="A8" s="52" t="s">
        <v>69</v>
      </c>
      <c r="B8" s="52" t="s">
        <v>70</v>
      </c>
      <c r="C8" s="53">
        <v>44562.0</v>
      </c>
      <c r="D8" s="43" t="s">
        <v>27</v>
      </c>
      <c r="E8" s="52" t="s">
        <v>55</v>
      </c>
      <c r="F8" s="52" t="s">
        <v>56</v>
      </c>
      <c r="G8" s="52" t="s">
        <v>57</v>
      </c>
      <c r="H8" s="52" t="s">
        <v>39</v>
      </c>
      <c r="I8" s="52" t="s">
        <v>40</v>
      </c>
      <c r="J8" s="44" t="s">
        <v>41</v>
      </c>
      <c r="K8" s="52" t="s">
        <v>71</v>
      </c>
      <c r="L8" s="52" t="s">
        <v>43</v>
      </c>
      <c r="M8" s="45">
        <f t="shared" si="1"/>
        <v>2022</v>
      </c>
      <c r="N8" s="46">
        <f t="shared" si="2"/>
        <v>0</v>
      </c>
      <c r="O8" s="46">
        <f t="shared" si="3"/>
        <v>2</v>
      </c>
      <c r="P8" s="46" t="str">
        <f t="shared" si="4"/>
        <v>Low</v>
      </c>
      <c r="Q8" s="47"/>
      <c r="R8" s="52" t="s">
        <v>72</v>
      </c>
      <c r="S8" s="56" t="s">
        <v>190</v>
      </c>
    </row>
    <row r="9">
      <c r="A9" s="52" t="s">
        <v>73</v>
      </c>
      <c r="B9" s="52" t="s">
        <v>74</v>
      </c>
      <c r="C9" s="53">
        <v>44562.0</v>
      </c>
      <c r="D9" s="43" t="s">
        <v>27</v>
      </c>
      <c r="E9" s="52" t="s">
        <v>55</v>
      </c>
      <c r="F9" s="52" t="s">
        <v>56</v>
      </c>
      <c r="G9" s="52" t="s">
        <v>57</v>
      </c>
      <c r="H9" s="52" t="s">
        <v>39</v>
      </c>
      <c r="I9" s="52" t="s">
        <v>40</v>
      </c>
      <c r="J9" s="52" t="s">
        <v>49</v>
      </c>
      <c r="K9" s="52" t="s">
        <v>58</v>
      </c>
      <c r="L9" s="52" t="s">
        <v>51</v>
      </c>
      <c r="M9" s="45">
        <f t="shared" si="1"/>
        <v>2022</v>
      </c>
      <c r="N9" s="46">
        <f t="shared" si="2"/>
        <v>0</v>
      </c>
      <c r="O9" s="46">
        <f t="shared" si="3"/>
        <v>4</v>
      </c>
      <c r="P9" s="46" t="str">
        <f t="shared" si="4"/>
        <v>High</v>
      </c>
      <c r="Q9" s="47"/>
      <c r="R9" s="52" t="s">
        <v>59</v>
      </c>
      <c r="S9" s="56" t="s">
        <v>191</v>
      </c>
    </row>
    <row r="10">
      <c r="A10" s="52" t="s">
        <v>75</v>
      </c>
      <c r="B10" s="52" t="s">
        <v>76</v>
      </c>
      <c r="C10" s="53">
        <v>44562.0</v>
      </c>
      <c r="D10" s="43" t="s">
        <v>27</v>
      </c>
      <c r="E10" s="52" t="s">
        <v>55</v>
      </c>
      <c r="F10" s="52" t="s">
        <v>56</v>
      </c>
      <c r="G10" s="52" t="s">
        <v>57</v>
      </c>
      <c r="H10" s="52" t="s">
        <v>39</v>
      </c>
      <c r="I10" s="52" t="s">
        <v>40</v>
      </c>
      <c r="J10" s="52" t="s">
        <v>49</v>
      </c>
      <c r="K10" s="52" t="s">
        <v>58</v>
      </c>
      <c r="L10" s="52" t="s">
        <v>51</v>
      </c>
      <c r="M10" s="45">
        <f t="shared" si="1"/>
        <v>2021</v>
      </c>
      <c r="N10" s="46">
        <f t="shared" si="2"/>
        <v>0</v>
      </c>
      <c r="O10" s="46">
        <f t="shared" si="3"/>
        <v>4</v>
      </c>
      <c r="P10" s="46" t="str">
        <f t="shared" si="4"/>
        <v>High</v>
      </c>
      <c r="Q10" s="47"/>
      <c r="R10" s="52" t="s">
        <v>59</v>
      </c>
      <c r="S10" s="56" t="s">
        <v>192</v>
      </c>
    </row>
    <row r="11">
      <c r="A11" s="52" t="s">
        <v>77</v>
      </c>
      <c r="B11" s="52" t="s">
        <v>78</v>
      </c>
      <c r="C11" s="53">
        <v>44197.0</v>
      </c>
      <c r="D11" s="43" t="s">
        <v>27</v>
      </c>
      <c r="E11" s="52" t="s">
        <v>55</v>
      </c>
      <c r="F11" s="52" t="s">
        <v>79</v>
      </c>
      <c r="G11" s="52" t="s">
        <v>57</v>
      </c>
      <c r="H11" s="52" t="s">
        <v>39</v>
      </c>
      <c r="I11" s="52" t="s">
        <v>40</v>
      </c>
      <c r="J11" s="44" t="s">
        <v>80</v>
      </c>
      <c r="K11" s="52" t="s">
        <v>43</v>
      </c>
      <c r="L11" s="52" t="s">
        <v>43</v>
      </c>
      <c r="M11" s="45">
        <f t="shared" si="1"/>
        <v>2022</v>
      </c>
      <c r="N11" s="46">
        <f t="shared" si="2"/>
        <v>0</v>
      </c>
      <c r="O11" s="46">
        <f t="shared" si="3"/>
        <v>2</v>
      </c>
      <c r="P11" s="46" t="str">
        <f t="shared" si="4"/>
        <v>Low</v>
      </c>
      <c r="Q11" s="47"/>
      <c r="R11" s="52" t="s">
        <v>81</v>
      </c>
      <c r="S11" s="56" t="s">
        <v>193</v>
      </c>
    </row>
    <row r="12">
      <c r="A12" s="52" t="s">
        <v>82</v>
      </c>
      <c r="B12" s="52" t="s">
        <v>83</v>
      </c>
      <c r="C12" s="53">
        <v>44562.0</v>
      </c>
      <c r="D12" s="43" t="s">
        <v>27</v>
      </c>
      <c r="E12" s="52" t="s">
        <v>55</v>
      </c>
      <c r="F12" s="52" t="s">
        <v>56</v>
      </c>
      <c r="G12" s="52" t="s">
        <v>57</v>
      </c>
      <c r="H12" s="52" t="s">
        <v>39</v>
      </c>
      <c r="I12" s="52" t="s">
        <v>40</v>
      </c>
      <c r="J12" s="44" t="s">
        <v>41</v>
      </c>
      <c r="K12" s="52" t="s">
        <v>84</v>
      </c>
      <c r="L12" s="52" t="s">
        <v>51</v>
      </c>
      <c r="M12" s="45">
        <f t="shared" si="1"/>
        <v>2022</v>
      </c>
      <c r="N12" s="46">
        <f t="shared" si="2"/>
        <v>0</v>
      </c>
      <c r="O12" s="46">
        <f t="shared" si="3"/>
        <v>4</v>
      </c>
      <c r="P12" s="46" t="str">
        <f t="shared" si="4"/>
        <v>High</v>
      </c>
      <c r="Q12" s="47"/>
      <c r="R12" s="52" t="s">
        <v>85</v>
      </c>
      <c r="S12" s="56" t="s">
        <v>194</v>
      </c>
    </row>
    <row r="13">
      <c r="A13" s="52" t="s">
        <v>86</v>
      </c>
      <c r="B13" s="52" t="s">
        <v>87</v>
      </c>
      <c r="C13" s="53">
        <v>44562.0</v>
      </c>
      <c r="D13" s="43" t="s">
        <v>27</v>
      </c>
      <c r="E13" s="52" t="s">
        <v>55</v>
      </c>
      <c r="F13" s="52" t="s">
        <v>56</v>
      </c>
      <c r="G13" s="52" t="s">
        <v>57</v>
      </c>
      <c r="H13" s="52" t="s">
        <v>39</v>
      </c>
      <c r="I13" s="52" t="s">
        <v>40</v>
      </c>
      <c r="J13" s="44" t="s">
        <v>41</v>
      </c>
      <c r="K13" s="52" t="s">
        <v>84</v>
      </c>
      <c r="L13" s="52" t="s">
        <v>51</v>
      </c>
      <c r="M13" s="45">
        <f t="shared" si="1"/>
        <v>2022</v>
      </c>
      <c r="N13" s="46">
        <f t="shared" si="2"/>
        <v>0</v>
      </c>
      <c r="O13" s="46">
        <f t="shared" si="3"/>
        <v>4</v>
      </c>
      <c r="P13" s="46" t="str">
        <f t="shared" si="4"/>
        <v>High</v>
      </c>
      <c r="Q13" s="47"/>
      <c r="R13" s="52" t="s">
        <v>85</v>
      </c>
      <c r="S13" s="56" t="s">
        <v>195</v>
      </c>
    </row>
    <row r="14">
      <c r="A14" s="52" t="s">
        <v>88</v>
      </c>
      <c r="B14" s="52" t="s">
        <v>89</v>
      </c>
      <c r="C14" s="53">
        <v>44562.0</v>
      </c>
      <c r="D14" s="43" t="s">
        <v>27</v>
      </c>
      <c r="E14" s="52" t="s">
        <v>55</v>
      </c>
      <c r="F14" s="52" t="s">
        <v>56</v>
      </c>
      <c r="G14" s="52" t="s">
        <v>57</v>
      </c>
      <c r="H14" s="52" t="s">
        <v>39</v>
      </c>
      <c r="I14" s="52" t="s">
        <v>40</v>
      </c>
      <c r="J14" s="44" t="s">
        <v>41</v>
      </c>
      <c r="K14" s="52" t="s">
        <v>84</v>
      </c>
      <c r="L14" s="52" t="s">
        <v>51</v>
      </c>
      <c r="M14" s="45">
        <f t="shared" si="1"/>
        <v>2022</v>
      </c>
      <c r="N14" s="46">
        <f t="shared" si="2"/>
        <v>0</v>
      </c>
      <c r="O14" s="46">
        <f t="shared" si="3"/>
        <v>4</v>
      </c>
      <c r="P14" s="46" t="str">
        <f t="shared" si="4"/>
        <v>High</v>
      </c>
      <c r="Q14" s="47"/>
      <c r="R14" s="52" t="s">
        <v>85</v>
      </c>
      <c r="S14" s="56" t="s">
        <v>196</v>
      </c>
    </row>
    <row r="15">
      <c r="A15" s="52" t="s">
        <v>90</v>
      </c>
      <c r="B15" s="52" t="s">
        <v>91</v>
      </c>
      <c r="C15" s="53">
        <v>44562.0</v>
      </c>
      <c r="D15" s="43" t="s">
        <v>27</v>
      </c>
      <c r="E15" s="52" t="s">
        <v>55</v>
      </c>
      <c r="F15" s="52" t="s">
        <v>56</v>
      </c>
      <c r="G15" s="52" t="s">
        <v>57</v>
      </c>
      <c r="H15" s="52" t="s">
        <v>39</v>
      </c>
      <c r="I15" s="52" t="s">
        <v>40</v>
      </c>
      <c r="J15" s="44" t="s">
        <v>41</v>
      </c>
      <c r="K15" s="52" t="s">
        <v>84</v>
      </c>
      <c r="L15" s="52" t="s">
        <v>51</v>
      </c>
      <c r="M15" s="45">
        <f t="shared" si="1"/>
        <v>2023</v>
      </c>
      <c r="N15" s="46">
        <f t="shared" si="2"/>
        <v>0</v>
      </c>
      <c r="O15" s="46">
        <f t="shared" si="3"/>
        <v>4</v>
      </c>
      <c r="P15" s="46" t="str">
        <f t="shared" si="4"/>
        <v>High</v>
      </c>
      <c r="Q15" s="47"/>
      <c r="R15" s="52" t="s">
        <v>85</v>
      </c>
      <c r="S15" s="54" t="s">
        <v>45</v>
      </c>
    </row>
    <row r="16">
      <c r="A16" s="52" t="s">
        <v>92</v>
      </c>
      <c r="B16" s="52" t="s">
        <v>93</v>
      </c>
      <c r="C16" s="53">
        <v>44927.0</v>
      </c>
      <c r="D16" s="43" t="s">
        <v>27</v>
      </c>
      <c r="E16" s="52" t="s">
        <v>55</v>
      </c>
      <c r="F16" s="52" t="s">
        <v>94</v>
      </c>
      <c r="G16" s="52" t="s">
        <v>57</v>
      </c>
      <c r="H16" s="52" t="s">
        <v>39</v>
      </c>
      <c r="I16" s="52" t="s">
        <v>40</v>
      </c>
      <c r="J16" s="52" t="s">
        <v>49</v>
      </c>
      <c r="K16" s="52" t="s">
        <v>95</v>
      </c>
      <c r="L16" s="52" t="s">
        <v>51</v>
      </c>
      <c r="M16" s="45">
        <f t="shared" si="1"/>
        <v>2024</v>
      </c>
      <c r="N16" s="46">
        <f t="shared" si="2"/>
        <v>0</v>
      </c>
      <c r="O16" s="46">
        <f t="shared" si="3"/>
        <v>4</v>
      </c>
      <c r="P16" s="46" t="str">
        <f t="shared" si="4"/>
        <v>High</v>
      </c>
      <c r="Q16" s="47"/>
      <c r="R16" s="52" t="s">
        <v>96</v>
      </c>
      <c r="S16" s="54" t="s">
        <v>45</v>
      </c>
    </row>
    <row r="17">
      <c r="A17" s="52" t="s">
        <v>97</v>
      </c>
      <c r="B17" s="52" t="s">
        <v>98</v>
      </c>
      <c r="C17" s="53">
        <v>45292.0</v>
      </c>
      <c r="D17" s="43" t="s">
        <v>27</v>
      </c>
      <c r="E17" s="52" t="s">
        <v>55</v>
      </c>
      <c r="F17" s="52" t="s">
        <v>99</v>
      </c>
      <c r="G17" s="52" t="s">
        <v>57</v>
      </c>
      <c r="H17" s="52" t="s">
        <v>39</v>
      </c>
      <c r="I17" s="52" t="s">
        <v>100</v>
      </c>
      <c r="J17" s="44" t="s">
        <v>41</v>
      </c>
      <c r="K17" s="52" t="s">
        <v>101</v>
      </c>
      <c r="L17" s="52" t="s">
        <v>102</v>
      </c>
      <c r="M17" s="45">
        <f t="shared" si="1"/>
        <v>2024</v>
      </c>
      <c r="N17" s="46">
        <f t="shared" si="2"/>
        <v>0</v>
      </c>
      <c r="O17" s="46">
        <f t="shared" si="3"/>
        <v>2</v>
      </c>
      <c r="P17" s="46" t="str">
        <f t="shared" si="4"/>
        <v>Low</v>
      </c>
      <c r="Q17" s="47"/>
      <c r="R17" s="52" t="s">
        <v>103</v>
      </c>
      <c r="S17" s="54" t="s">
        <v>45</v>
      </c>
    </row>
    <row r="18">
      <c r="A18" s="52" t="s">
        <v>104</v>
      </c>
      <c r="B18" s="52" t="s">
        <v>105</v>
      </c>
      <c r="C18" s="53">
        <v>45292.0</v>
      </c>
      <c r="D18" s="43" t="s">
        <v>27</v>
      </c>
      <c r="E18" s="52" t="s">
        <v>106</v>
      </c>
      <c r="F18" s="52" t="s">
        <v>99</v>
      </c>
      <c r="G18" s="52" t="s">
        <v>57</v>
      </c>
      <c r="H18" s="52" t="s">
        <v>39</v>
      </c>
      <c r="I18" s="52" t="s">
        <v>40</v>
      </c>
      <c r="J18" s="44" t="s">
        <v>41</v>
      </c>
      <c r="K18" s="52" t="s">
        <v>84</v>
      </c>
      <c r="L18" s="52" t="s">
        <v>51</v>
      </c>
      <c r="M18" s="45">
        <f t="shared" si="1"/>
        <v>2024</v>
      </c>
      <c r="N18" s="46">
        <f t="shared" si="2"/>
        <v>0</v>
      </c>
      <c r="O18" s="46">
        <f t="shared" si="3"/>
        <v>4</v>
      </c>
      <c r="P18" s="46" t="str">
        <f t="shared" si="4"/>
        <v>High</v>
      </c>
      <c r="Q18" s="47"/>
      <c r="R18" s="52" t="s">
        <v>107</v>
      </c>
      <c r="S18" s="54" t="s">
        <v>45</v>
      </c>
    </row>
    <row r="19">
      <c r="A19" s="52" t="s">
        <v>108</v>
      </c>
      <c r="B19" s="52" t="s">
        <v>109</v>
      </c>
      <c r="C19" s="53">
        <v>45292.0</v>
      </c>
      <c r="D19" s="43" t="s">
        <v>27</v>
      </c>
      <c r="E19" s="52" t="s">
        <v>110</v>
      </c>
      <c r="F19" s="52" t="s">
        <v>111</v>
      </c>
      <c r="G19" s="52" t="s">
        <v>112</v>
      </c>
      <c r="H19" s="52" t="s">
        <v>39</v>
      </c>
      <c r="I19" s="52" t="s">
        <v>113</v>
      </c>
      <c r="J19" s="52" t="s">
        <v>49</v>
      </c>
      <c r="K19" s="52" t="s">
        <v>114</v>
      </c>
      <c r="L19" s="52" t="s">
        <v>51</v>
      </c>
      <c r="M19" s="45">
        <f t="shared" si="1"/>
        <v>2024</v>
      </c>
      <c r="N19" s="46">
        <f t="shared" si="2"/>
        <v>0</v>
      </c>
      <c r="O19" s="46">
        <f t="shared" si="3"/>
        <v>4</v>
      </c>
      <c r="P19" s="46" t="str">
        <f t="shared" si="4"/>
        <v>High</v>
      </c>
      <c r="Q19" s="47"/>
      <c r="R19" s="52" t="s">
        <v>115</v>
      </c>
      <c r="S19" s="54" t="s">
        <v>45</v>
      </c>
    </row>
    <row r="20">
      <c r="A20" s="52" t="s">
        <v>116</v>
      </c>
      <c r="B20" s="52" t="s">
        <v>117</v>
      </c>
      <c r="C20" s="53">
        <v>45292.0</v>
      </c>
      <c r="D20" s="43" t="s">
        <v>27</v>
      </c>
      <c r="E20" s="52" t="s">
        <v>110</v>
      </c>
      <c r="F20" s="52" t="s">
        <v>111</v>
      </c>
      <c r="G20" s="52" t="s">
        <v>112</v>
      </c>
      <c r="H20" s="52" t="s">
        <v>39</v>
      </c>
      <c r="I20" s="52" t="s">
        <v>40</v>
      </c>
      <c r="J20" s="44" t="s">
        <v>41</v>
      </c>
      <c r="K20" s="52" t="s">
        <v>118</v>
      </c>
      <c r="L20" s="52" t="s">
        <v>43</v>
      </c>
      <c r="M20" s="45">
        <f t="shared" si="1"/>
        <v>2023</v>
      </c>
      <c r="N20" s="46">
        <f t="shared" si="2"/>
        <v>0</v>
      </c>
      <c r="O20" s="46">
        <f t="shared" si="3"/>
        <v>2</v>
      </c>
      <c r="P20" s="46" t="str">
        <f t="shared" si="4"/>
        <v>Low</v>
      </c>
      <c r="Q20" s="47"/>
      <c r="R20" s="52" t="s">
        <v>119</v>
      </c>
      <c r="S20" s="54" t="s">
        <v>45</v>
      </c>
    </row>
    <row r="21">
      <c r="A21" s="52" t="s">
        <v>120</v>
      </c>
      <c r="B21" s="52" t="s">
        <v>117</v>
      </c>
      <c r="C21" s="53">
        <v>44927.0</v>
      </c>
      <c r="D21" s="43" t="s">
        <v>27</v>
      </c>
      <c r="E21" s="52" t="s">
        <v>110</v>
      </c>
      <c r="F21" s="52" t="s">
        <v>121</v>
      </c>
      <c r="G21" s="52" t="s">
        <v>112</v>
      </c>
      <c r="H21" s="52" t="s">
        <v>39</v>
      </c>
      <c r="I21" s="52" t="s">
        <v>40</v>
      </c>
      <c r="J21" s="44" t="s">
        <v>41</v>
      </c>
      <c r="K21" s="52" t="s">
        <v>118</v>
      </c>
      <c r="L21" s="52" t="s">
        <v>43</v>
      </c>
      <c r="M21" s="45">
        <f t="shared" si="1"/>
        <v>2017</v>
      </c>
      <c r="N21" s="46">
        <f t="shared" si="2"/>
        <v>0</v>
      </c>
      <c r="O21" s="46">
        <f t="shared" si="3"/>
        <v>2</v>
      </c>
      <c r="P21" s="46" t="str">
        <f t="shared" si="4"/>
        <v>Low</v>
      </c>
      <c r="Q21" s="47"/>
      <c r="R21" s="52" t="s">
        <v>119</v>
      </c>
      <c r="S21" s="54" t="s">
        <v>45</v>
      </c>
    </row>
    <row r="22">
      <c r="A22" s="52" t="s">
        <v>122</v>
      </c>
      <c r="B22" s="52" t="s">
        <v>123</v>
      </c>
      <c r="C22" s="53">
        <v>43031.0</v>
      </c>
      <c r="D22" s="43" t="s">
        <v>27</v>
      </c>
      <c r="E22" s="52" t="s">
        <v>110</v>
      </c>
      <c r="F22" s="52" t="s">
        <v>125</v>
      </c>
      <c r="G22" s="52" t="s">
        <v>126</v>
      </c>
      <c r="H22" s="52" t="s">
        <v>127</v>
      </c>
      <c r="I22" s="52" t="s">
        <v>40</v>
      </c>
      <c r="J22" s="52" t="s">
        <v>49</v>
      </c>
      <c r="K22" s="52" t="s">
        <v>128</v>
      </c>
      <c r="L22" s="52" t="s">
        <v>51</v>
      </c>
      <c r="M22" s="45">
        <f t="shared" si="1"/>
        <v>2103</v>
      </c>
      <c r="N22" s="46">
        <f t="shared" si="2"/>
        <v>0</v>
      </c>
      <c r="O22" s="46">
        <f t="shared" si="3"/>
        <v>4</v>
      </c>
      <c r="P22" s="46" t="str">
        <f t="shared" si="4"/>
        <v>High</v>
      </c>
      <c r="Q22" s="57">
        <v>2200.0</v>
      </c>
      <c r="R22" s="52" t="s">
        <v>129</v>
      </c>
      <c r="S22" s="54" t="s">
        <v>130</v>
      </c>
    </row>
    <row r="23">
      <c r="A23" s="52" t="s">
        <v>131</v>
      </c>
      <c r="B23" s="52" t="s">
        <v>132</v>
      </c>
      <c r="C23" s="53">
        <v>74261.0</v>
      </c>
      <c r="D23" s="43" t="s">
        <v>27</v>
      </c>
      <c r="E23" s="52" t="s">
        <v>133</v>
      </c>
      <c r="F23" s="52" t="s">
        <v>134</v>
      </c>
      <c r="G23" s="52" t="s">
        <v>135</v>
      </c>
      <c r="H23" s="52" t="s">
        <v>127</v>
      </c>
      <c r="I23" s="52" t="s">
        <v>40</v>
      </c>
      <c r="J23" s="52" t="s">
        <v>49</v>
      </c>
      <c r="K23" s="52" t="s">
        <v>136</v>
      </c>
      <c r="L23" s="52" t="s">
        <v>137</v>
      </c>
      <c r="M23" s="45">
        <f t="shared" si="1"/>
        <v>2015</v>
      </c>
      <c r="N23" s="46">
        <f t="shared" si="2"/>
        <v>0</v>
      </c>
      <c r="O23" s="46">
        <f t="shared" si="3"/>
        <v>3</v>
      </c>
      <c r="P23" s="46" t="str">
        <f t="shared" si="4"/>
        <v>Medium</v>
      </c>
      <c r="Q23" s="58">
        <v>656.0</v>
      </c>
      <c r="R23" s="52" t="s">
        <v>138</v>
      </c>
      <c r="S23" s="54" t="s">
        <v>139</v>
      </c>
    </row>
    <row r="24">
      <c r="A24" s="52" t="s">
        <v>140</v>
      </c>
      <c r="B24" s="52" t="s">
        <v>141</v>
      </c>
      <c r="C24" s="53">
        <v>42005.0</v>
      </c>
      <c r="D24" s="43" t="s">
        <v>27</v>
      </c>
      <c r="E24" s="52" t="s">
        <v>133</v>
      </c>
      <c r="F24" s="52" t="s">
        <v>143</v>
      </c>
      <c r="G24" s="52" t="s">
        <v>144</v>
      </c>
      <c r="H24" s="52" t="s">
        <v>127</v>
      </c>
      <c r="I24" s="52" t="s">
        <v>145</v>
      </c>
      <c r="J24" s="44" t="s">
        <v>66</v>
      </c>
      <c r="K24" s="52" t="s">
        <v>146</v>
      </c>
      <c r="L24" s="52" t="s">
        <v>147</v>
      </c>
      <c r="M24" s="45">
        <f t="shared" si="1"/>
        <v>2023</v>
      </c>
      <c r="N24" s="46">
        <f t="shared" si="2"/>
        <v>0</v>
      </c>
      <c r="O24" s="46">
        <f t="shared" si="3"/>
        <v>2</v>
      </c>
      <c r="P24" s="46" t="str">
        <f t="shared" si="4"/>
        <v>Low</v>
      </c>
      <c r="Q24" s="58">
        <v>13000.0</v>
      </c>
      <c r="R24" s="52" t="s">
        <v>148</v>
      </c>
      <c r="S24" s="54" t="s">
        <v>149</v>
      </c>
    </row>
    <row r="25">
      <c r="A25" s="52" t="s">
        <v>150</v>
      </c>
      <c r="B25" s="52" t="s">
        <v>151</v>
      </c>
      <c r="C25" s="53">
        <v>44952.0</v>
      </c>
      <c r="D25" s="43" t="s">
        <v>27</v>
      </c>
      <c r="E25" s="52" t="s">
        <v>133</v>
      </c>
      <c r="F25" s="52" t="s">
        <v>152</v>
      </c>
      <c r="G25" s="52" t="s">
        <v>153</v>
      </c>
      <c r="H25" s="52" t="s">
        <v>127</v>
      </c>
      <c r="I25" s="52" t="s">
        <v>154</v>
      </c>
      <c r="J25" s="52" t="s">
        <v>49</v>
      </c>
      <c r="K25" s="52" t="s">
        <v>155</v>
      </c>
      <c r="L25" s="52" t="s">
        <v>137</v>
      </c>
      <c r="M25" s="45">
        <f t="shared" si="1"/>
        <v>2022</v>
      </c>
      <c r="N25" s="46">
        <f t="shared" si="2"/>
        <v>0</v>
      </c>
      <c r="O25" s="46">
        <f t="shared" si="3"/>
        <v>4</v>
      </c>
      <c r="P25" s="46" t="str">
        <f t="shared" si="4"/>
        <v>High</v>
      </c>
      <c r="Q25" s="58">
        <v>16000.0</v>
      </c>
      <c r="R25" s="52" t="s">
        <v>156</v>
      </c>
      <c r="S25" s="54" t="s">
        <v>157</v>
      </c>
    </row>
    <row r="26">
      <c r="A26" s="52" t="s">
        <v>158</v>
      </c>
      <c r="B26" s="52" t="s">
        <v>159</v>
      </c>
      <c r="C26" s="53">
        <v>44562.0</v>
      </c>
      <c r="D26" s="43" t="s">
        <v>27</v>
      </c>
      <c r="E26" s="52" t="s">
        <v>161</v>
      </c>
      <c r="F26" s="52" t="s">
        <v>162</v>
      </c>
      <c r="G26" s="52" t="s">
        <v>163</v>
      </c>
      <c r="H26" s="52" t="s">
        <v>127</v>
      </c>
      <c r="I26" s="52" t="s">
        <v>40</v>
      </c>
      <c r="J26" s="52" t="s">
        <v>49</v>
      </c>
      <c r="K26" s="52" t="s">
        <v>164</v>
      </c>
      <c r="L26" s="52" t="s">
        <v>51</v>
      </c>
      <c r="M26" s="45">
        <f t="shared" si="1"/>
        <v>2017</v>
      </c>
      <c r="N26" s="46">
        <f t="shared" si="2"/>
        <v>0</v>
      </c>
      <c r="O26" s="46">
        <f t="shared" si="3"/>
        <v>4</v>
      </c>
      <c r="P26" s="46" t="str">
        <f t="shared" si="4"/>
        <v>High</v>
      </c>
      <c r="Q26" s="59"/>
      <c r="R26" s="52" t="s">
        <v>165</v>
      </c>
      <c r="S26" s="54" t="s">
        <v>166</v>
      </c>
    </row>
    <row r="27">
      <c r="A27" s="52" t="s">
        <v>167</v>
      </c>
      <c r="B27" s="52" t="s">
        <v>168</v>
      </c>
      <c r="C27" s="53">
        <v>42977.0</v>
      </c>
      <c r="D27" s="43" t="s">
        <v>27</v>
      </c>
      <c r="E27" s="52" t="s">
        <v>169</v>
      </c>
      <c r="F27" s="52" t="s">
        <v>170</v>
      </c>
      <c r="G27" s="52" t="s">
        <v>171</v>
      </c>
      <c r="H27" s="52" t="s">
        <v>127</v>
      </c>
      <c r="I27" s="52" t="s">
        <v>172</v>
      </c>
      <c r="J27" s="52" t="s">
        <v>49</v>
      </c>
      <c r="K27" s="52" t="s">
        <v>173</v>
      </c>
      <c r="L27" s="52" t="s">
        <v>51</v>
      </c>
      <c r="M27" s="45">
        <f t="shared" si="1"/>
        <v>2021</v>
      </c>
      <c r="N27" s="46">
        <f t="shared" si="2"/>
        <v>0</v>
      </c>
      <c r="O27" s="46">
        <f t="shared" si="3"/>
        <v>5</v>
      </c>
      <c r="P27" s="46" t="str">
        <f t="shared" si="4"/>
        <v>Very High</v>
      </c>
      <c r="Q27" s="47"/>
      <c r="R27" s="52" t="s">
        <v>174</v>
      </c>
      <c r="S27" s="54" t="s">
        <v>175</v>
      </c>
    </row>
    <row r="28">
      <c r="A28" s="52" t="s">
        <v>176</v>
      </c>
      <c r="B28" s="52" t="s">
        <v>177</v>
      </c>
      <c r="C28" s="53">
        <v>44197.0</v>
      </c>
      <c r="D28" s="43" t="s">
        <v>27</v>
      </c>
      <c r="E28" s="52" t="s">
        <v>133</v>
      </c>
      <c r="F28" s="52" t="s">
        <v>178</v>
      </c>
      <c r="G28" s="52" t="s">
        <v>153</v>
      </c>
      <c r="H28" s="52" t="s">
        <v>127</v>
      </c>
      <c r="I28" s="52" t="s">
        <v>40</v>
      </c>
      <c r="J28" s="52" t="s">
        <v>49</v>
      </c>
      <c r="K28" s="52" t="s">
        <v>179</v>
      </c>
      <c r="L28" s="52" t="s">
        <v>51</v>
      </c>
      <c r="M28" s="45">
        <f t="shared" si="1"/>
        <v>2018</v>
      </c>
      <c r="N28" s="46">
        <f t="shared" si="2"/>
        <v>0</v>
      </c>
      <c r="O28" s="46">
        <f t="shared" si="3"/>
        <v>4</v>
      </c>
      <c r="P28" s="46" t="str">
        <f t="shared" si="4"/>
        <v>High</v>
      </c>
      <c r="Q28" s="57">
        <v>40000.0</v>
      </c>
      <c r="R28" s="52" t="s">
        <v>180</v>
      </c>
      <c r="S28" s="54" t="s">
        <v>181</v>
      </c>
    </row>
    <row r="29">
      <c r="A29" s="60" t="s">
        <v>182</v>
      </c>
      <c r="B29" s="60" t="s">
        <v>183</v>
      </c>
      <c r="C29" s="61">
        <v>43435.0</v>
      </c>
      <c r="D29" s="62" t="s">
        <v>27</v>
      </c>
      <c r="E29" s="60" t="s">
        <v>55</v>
      </c>
      <c r="F29" s="60" t="s">
        <v>184</v>
      </c>
      <c r="G29" s="60" t="s">
        <v>185</v>
      </c>
      <c r="H29" s="60" t="s">
        <v>127</v>
      </c>
      <c r="I29" s="60" t="s">
        <v>186</v>
      </c>
      <c r="J29" s="60" t="s">
        <v>49</v>
      </c>
      <c r="K29" s="60" t="s">
        <v>58</v>
      </c>
      <c r="L29" s="60" t="s">
        <v>137</v>
      </c>
      <c r="M29" s="63" t="str">
        <f>YEAR(#REF!)</f>
        <v>#REF!</v>
      </c>
      <c r="N29" s="64">
        <f t="shared" si="2"/>
        <v>0</v>
      </c>
      <c r="O29" s="64">
        <f t="shared" si="3"/>
        <v>3</v>
      </c>
      <c r="P29" s="64" t="str">
        <f t="shared" si="4"/>
        <v>Medium</v>
      </c>
      <c r="Q29" s="65">
        <v>15000.0</v>
      </c>
      <c r="R29" s="60" t="s">
        <v>187</v>
      </c>
      <c r="S29" s="66" t="s">
        <v>188</v>
      </c>
    </row>
  </sheetData>
  <hyperlinks>
    <hyperlink r:id="rId1" ref="S2"/>
    <hyperlink r:id="rId2" ref="S3"/>
    <hyperlink r:id="rId3" ref="S4"/>
    <hyperlink r:id="rId4" ref="S5"/>
    <hyperlink r:id="rId5" ref="S6"/>
    <hyperlink r:id="rId6" ref="S7"/>
    <hyperlink r:id="rId7" ref="S8"/>
    <hyperlink r:id="rId8" ref="S9"/>
    <hyperlink r:id="rId9" ref="S10"/>
    <hyperlink r:id="rId10" ref="S11"/>
    <hyperlink r:id="rId11" ref="S12"/>
    <hyperlink r:id="rId12" ref="S13"/>
    <hyperlink r:id="rId13" ref="S14"/>
    <hyperlink r:id="rId14" ref="S15"/>
    <hyperlink r:id="rId15" ref="S16"/>
    <hyperlink r:id="rId16" ref="S17"/>
    <hyperlink r:id="rId17" ref="S18"/>
    <hyperlink r:id="rId18" ref="S19"/>
    <hyperlink r:id="rId19" ref="S20"/>
    <hyperlink r:id="rId20" ref="S21"/>
    <hyperlink r:id="rId21" ref="S22"/>
    <hyperlink r:id="rId22" ref="S23"/>
    <hyperlink r:id="rId23" ref="S24"/>
    <hyperlink r:id="rId24" ref="S25"/>
    <hyperlink r:id="rId25" ref="S26"/>
    <hyperlink r:id="rId26" ref="S27"/>
    <hyperlink r:id="rId27" ref="S28"/>
    <hyperlink r:id="rId28" ref="S29"/>
  </hyperlinks>
  <drawing r:id="rId29"/>
  <tableParts count="1">
    <tablePart r:id="rId3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8.0"/>
    <col customWidth="1" min="2" max="2" width="30.63"/>
    <col customWidth="1" min="3" max="3" width="34.88"/>
    <col customWidth="1" min="4" max="4" width="34.75"/>
    <col customWidth="1" min="5" max="5" width="24.75"/>
    <col customWidth="1" min="6" max="6" width="39.0"/>
    <col customWidth="1" min="8" max="8" width="72.25"/>
  </cols>
  <sheetData>
    <row r="1">
      <c r="A1" s="67" t="s">
        <v>197</v>
      </c>
      <c r="B1" s="4"/>
      <c r="C1" s="4"/>
      <c r="D1" s="4"/>
      <c r="E1" s="4"/>
      <c r="F1" s="4"/>
      <c r="G1" s="4"/>
      <c r="H1" s="5"/>
    </row>
    <row r="2">
      <c r="A2" s="6"/>
      <c r="B2" s="7"/>
      <c r="C2" s="7"/>
      <c r="D2" s="7"/>
      <c r="E2" s="7"/>
      <c r="F2" s="7"/>
      <c r="G2" s="7"/>
      <c r="H2" s="8"/>
    </row>
    <row r="7">
      <c r="A7" s="68" t="s">
        <v>198</v>
      </c>
      <c r="B7" s="69"/>
      <c r="C7" s="68" t="s">
        <v>199</v>
      </c>
      <c r="D7" s="69"/>
      <c r="E7" s="68" t="s">
        <v>200</v>
      </c>
      <c r="F7" s="69"/>
      <c r="G7" s="68" t="s">
        <v>201</v>
      </c>
      <c r="H7" s="69"/>
    </row>
    <row r="8">
      <c r="A8" s="70">
        <f>COUNTA(Cleaned_Data!A2:A35)</f>
        <v>28</v>
      </c>
      <c r="B8" s="71"/>
      <c r="C8" s="70">
        <f>COUNTIF(Cleaned_Data!N:N,1)</f>
        <v>0</v>
      </c>
      <c r="D8" s="71"/>
      <c r="E8" s="70">
        <f>COUNTIF(Cleaned_Data!J:J,"Resolved")+COUNTIF(Cleaned_Data!J:J,"Not Anomalous")</f>
        <v>17</v>
      </c>
      <c r="F8" s="71"/>
      <c r="G8" s="70">
        <f>ROUND(AVERAGE(Cleaned_Data!O:O),2)</f>
        <v>3.46</v>
      </c>
      <c r="H8" s="71"/>
    </row>
    <row r="9">
      <c r="A9" s="72"/>
      <c r="B9" s="73"/>
      <c r="C9" s="72"/>
      <c r="D9" s="73"/>
      <c r="E9" s="72"/>
      <c r="F9" s="73"/>
      <c r="G9" s="72"/>
      <c r="H9" s="73"/>
    </row>
    <row r="11">
      <c r="A11" s="74" t="s">
        <v>202</v>
      </c>
      <c r="B11" s="75"/>
      <c r="C11" s="76"/>
      <c r="D11" s="74" t="s">
        <v>203</v>
      </c>
      <c r="E11" s="77"/>
      <c r="F11" s="75"/>
      <c r="G11" s="76"/>
    </row>
    <row r="12">
      <c r="A12" s="78" t="s">
        <v>24</v>
      </c>
      <c r="B12" s="79" t="s">
        <v>204</v>
      </c>
      <c r="C12" s="76"/>
      <c r="D12" s="80" t="s">
        <v>19</v>
      </c>
      <c r="E12" s="81" t="s">
        <v>204</v>
      </c>
      <c r="F12" s="82" t="s">
        <v>205</v>
      </c>
      <c r="G12" s="76"/>
    </row>
    <row r="13">
      <c r="A13" s="83" t="s">
        <v>49</v>
      </c>
      <c r="B13" s="84">
        <f>COUNTIF(Cleaned_Data!$J$2:$J$200,A13)</f>
        <v>15</v>
      </c>
      <c r="C13" s="76"/>
      <c r="D13" s="83" t="s">
        <v>36</v>
      </c>
      <c r="E13" s="85">
        <f>COUNTIF(Cleaned_Data!$E$2:$E$200,D13)</f>
        <v>2</v>
      </c>
      <c r="F13" s="84">
        <f>ROUND(AVERAGEIF(Cleaned_Data!$E$2:$E$200,D13,Cleaned_Data!$O$2:$O$200),2)</f>
        <v>3</v>
      </c>
      <c r="G13" s="76"/>
    </row>
    <row r="14">
      <c r="A14" s="83" t="s">
        <v>41</v>
      </c>
      <c r="B14" s="84">
        <f>COUNTIF(Cleaned_Data!$J$2:$J$200,A14)</f>
        <v>10</v>
      </c>
      <c r="C14" s="76"/>
      <c r="D14" s="83" t="s">
        <v>55</v>
      </c>
      <c r="E14" s="85">
        <f>COUNTIF(Cleaned_Data!$E$2:$E$200,D14)</f>
        <v>15</v>
      </c>
      <c r="F14" s="84">
        <f>ROUND(AVERAGEIF(Cleaned_Data!$E$2:$E$200,D14,Cleaned_Data!$O$2:$O$200),2)</f>
        <v>3.53</v>
      </c>
      <c r="G14" s="76"/>
    </row>
    <row r="15">
      <c r="A15" s="83" t="s">
        <v>80</v>
      </c>
      <c r="B15" s="84">
        <f>COUNTIF(Cleaned_Data!$J$2:$J$200,A15)</f>
        <v>1</v>
      </c>
      <c r="C15" s="76"/>
      <c r="D15" s="83" t="s">
        <v>110</v>
      </c>
      <c r="E15" s="85">
        <f>COUNTIF(Cleaned_Data!$E$2:$E$200,D15)</f>
        <v>4</v>
      </c>
      <c r="F15" s="84">
        <f>ROUND(AVERAGEIF(Cleaned_Data!$E$2:$E$200,D15,Cleaned_Data!$O$2:$O$200),2)</f>
        <v>3</v>
      </c>
      <c r="G15" s="76"/>
    </row>
    <row r="16">
      <c r="A16" s="86" t="s">
        <v>66</v>
      </c>
      <c r="B16" s="87">
        <f>COUNTIF(Cleaned_Data!$J$2:$J$200,A16)</f>
        <v>2</v>
      </c>
      <c r="C16" s="76"/>
      <c r="D16" s="83" t="s">
        <v>133</v>
      </c>
      <c r="E16" s="85">
        <f>COUNTIF(Cleaned_Data!$E$2:$E$200,D16)</f>
        <v>4</v>
      </c>
      <c r="F16" s="84">
        <f>ROUND(AVERAGEIF(Cleaned_Data!$E$2:$E$200,D16,Cleaned_Data!$O$2:$O$200),2)</f>
        <v>3.25</v>
      </c>
      <c r="G16" s="76"/>
    </row>
    <row r="17">
      <c r="A17" s="76"/>
      <c r="B17" s="76"/>
      <c r="C17" s="76"/>
      <c r="D17" s="83" t="s">
        <v>169</v>
      </c>
      <c r="E17" s="85">
        <f>COUNTIF(Cleaned_Data!$E$2:$E$200,D17)</f>
        <v>1</v>
      </c>
      <c r="F17" s="84">
        <f>ROUND(AVERAGEIF(Cleaned_Data!$E$2:$E$200,D17,Cleaned_Data!$O$2:$O$200),2)</f>
        <v>5</v>
      </c>
      <c r="G17" s="76"/>
    </row>
    <row r="18">
      <c r="A18" s="76"/>
      <c r="B18" s="76"/>
      <c r="C18" s="76"/>
      <c r="D18" s="86" t="s">
        <v>161</v>
      </c>
      <c r="E18" s="88">
        <f>COUNTIF(Cleaned_Data!$E$2:$E$200,D18)</f>
        <v>1</v>
      </c>
      <c r="F18" s="87">
        <f>ROUND(AVERAGEIF(Cleaned_Data!$E$2:$E$200,D18,Cleaned_Data!$O$2:$O$200),2)</f>
        <v>4</v>
      </c>
      <c r="G18" s="76"/>
    </row>
    <row r="19">
      <c r="A19" s="74" t="s">
        <v>206</v>
      </c>
      <c r="B19" s="75"/>
      <c r="C19" s="76"/>
      <c r="D19" s="89" t="s">
        <v>207</v>
      </c>
      <c r="E19" s="90"/>
      <c r="F19" s="91"/>
      <c r="G19" s="76"/>
    </row>
    <row r="20">
      <c r="A20" s="92" t="s">
        <v>208</v>
      </c>
      <c r="B20" s="93" t="s">
        <v>204</v>
      </c>
      <c r="C20" s="76"/>
      <c r="D20" s="94" t="s">
        <v>27</v>
      </c>
      <c r="E20" s="95" t="s">
        <v>204</v>
      </c>
      <c r="F20" s="96" t="s">
        <v>209</v>
      </c>
      <c r="G20" s="76"/>
    </row>
    <row r="21">
      <c r="A21" s="83" t="s">
        <v>58</v>
      </c>
      <c r="B21" s="84">
        <f>COUNTIF(Cleaned_Data!$K$2:$K$200,A21)</f>
        <v>6</v>
      </c>
      <c r="C21" s="76"/>
      <c r="D21" s="97">
        <v>2013.0</v>
      </c>
      <c r="E21" s="98">
        <f>COUNTIF(Cleaned_Data!$M$2:$M$200,D21)</f>
        <v>0</v>
      </c>
      <c r="F21" s="99">
        <f t="shared" ref="F21:F24" si="1">COUNTIFS('2_Cleaned_Data'!$M$2:$M$200,D25,'2_Cleaned_Data'!$N$2:$N$200,1)</f>
        <v>0</v>
      </c>
      <c r="G21" s="76"/>
    </row>
    <row r="22">
      <c r="A22" s="83" t="s">
        <v>95</v>
      </c>
      <c r="B22" s="84">
        <f>COUNTIF(Cleaned_Data!$K$2:$K$200,A22)</f>
        <v>1</v>
      </c>
      <c r="C22" s="76"/>
      <c r="D22" s="97">
        <v>2015.0</v>
      </c>
      <c r="E22" s="98">
        <f>COUNTIF(Cleaned_Data!$M$2:$M$200,D22)</f>
        <v>1</v>
      </c>
      <c r="F22" s="99">
        <f t="shared" si="1"/>
        <v>0</v>
      </c>
      <c r="G22" s="76"/>
    </row>
    <row r="23">
      <c r="A23" s="83" t="s">
        <v>128</v>
      </c>
      <c r="B23" s="84">
        <f>COUNTIF(Cleaned_Data!$K$2:$K$200,A23)</f>
        <v>1</v>
      </c>
      <c r="C23" s="76"/>
      <c r="D23" s="97">
        <v>2017.0</v>
      </c>
      <c r="E23" s="98">
        <f>COUNTIF(Cleaned_Data!$M$2:$M$200,D23)</f>
        <v>2</v>
      </c>
      <c r="F23" s="99">
        <f t="shared" si="1"/>
        <v>0</v>
      </c>
      <c r="G23" s="76"/>
    </row>
    <row r="24">
      <c r="A24" s="83" t="s">
        <v>114</v>
      </c>
      <c r="B24" s="84">
        <f>COUNTIF(Cleaned_Data!$K$2:$K$200,A24)</f>
        <v>1</v>
      </c>
      <c r="C24" s="76"/>
      <c r="D24" s="97">
        <v>2018.0</v>
      </c>
      <c r="E24" s="98">
        <f>COUNTIF(Cleaned_Data!$M$2:$M$200,D24)</f>
        <v>1</v>
      </c>
      <c r="F24" s="99">
        <f t="shared" si="1"/>
        <v>0</v>
      </c>
      <c r="G24" s="76"/>
    </row>
    <row r="25">
      <c r="A25" s="83" t="s">
        <v>179</v>
      </c>
      <c r="B25" s="84">
        <f>COUNTIF(Cleaned_Data!$K$2:$K$200,A25)</f>
        <v>1</v>
      </c>
      <c r="C25" s="76"/>
      <c r="D25" s="97">
        <v>2021.0</v>
      </c>
      <c r="E25" s="98">
        <f>COUNTIF(Cleaned_Data!$M$2:$M$200,D25)</f>
        <v>2</v>
      </c>
      <c r="F25" s="100">
        <v>1.0</v>
      </c>
      <c r="G25" s="76"/>
    </row>
    <row r="26">
      <c r="A26" s="83" t="s">
        <v>67</v>
      </c>
      <c r="B26" s="84">
        <f>COUNTIF(Cleaned_Data!$K$2:$K$200,A26)</f>
        <v>1</v>
      </c>
      <c r="C26" s="76"/>
      <c r="D26" s="97">
        <v>2022.0</v>
      </c>
      <c r="E26" s="98">
        <f>COUNTIF(Cleaned_Data!$M$2:$M$200,D26)</f>
        <v>12</v>
      </c>
      <c r="F26" s="100">
        <v>6.0</v>
      </c>
      <c r="G26" s="76"/>
    </row>
    <row r="27">
      <c r="A27" s="83" t="s">
        <v>164</v>
      </c>
      <c r="B27" s="84">
        <f>COUNTIF(Cleaned_Data!$K$2:$K$200,A27)</f>
        <v>1</v>
      </c>
      <c r="C27" s="76"/>
      <c r="D27" s="97">
        <v>2023.0</v>
      </c>
      <c r="E27" s="98">
        <f>COUNTIF(Cleaned_Data!$M$2:$M$200,D27)</f>
        <v>3</v>
      </c>
      <c r="F27" s="100">
        <v>1.0</v>
      </c>
      <c r="G27" s="76"/>
    </row>
    <row r="28">
      <c r="A28" s="83" t="s">
        <v>173</v>
      </c>
      <c r="B28" s="84">
        <f>COUNTIF(Cleaned_Data!$K$2:$K$200,A28)</f>
        <v>1</v>
      </c>
      <c r="C28" s="76"/>
      <c r="D28" s="101">
        <v>2024.0</v>
      </c>
      <c r="E28" s="102">
        <f>COUNTIF(Cleaned_Data!$M$2:$M$200,D28)</f>
        <v>5</v>
      </c>
      <c r="F28" s="103">
        <v>3.0</v>
      </c>
      <c r="G28" s="76"/>
    </row>
    <row r="29">
      <c r="A29" s="83" t="s">
        <v>136</v>
      </c>
      <c r="B29" s="84">
        <f>COUNTIF(Cleaned_Data!$K$2:$K$200,A29)</f>
        <v>1</v>
      </c>
      <c r="C29" s="76"/>
      <c r="D29" s="76"/>
      <c r="E29" s="76"/>
      <c r="F29" s="76"/>
      <c r="G29" s="76"/>
    </row>
    <row r="30">
      <c r="A30" s="83" t="s">
        <v>84</v>
      </c>
      <c r="B30" s="84">
        <f>COUNTIF(Cleaned_Data!$K$2:$K$200,A30)</f>
        <v>5</v>
      </c>
      <c r="C30" s="76"/>
      <c r="D30" s="76"/>
      <c r="E30" s="76"/>
      <c r="F30" s="76"/>
      <c r="G30" s="76"/>
    </row>
    <row r="31">
      <c r="A31" s="83" t="s">
        <v>42</v>
      </c>
      <c r="B31" s="84">
        <f>COUNTIF(Cleaned_Data!$K$2:$K$200,A31)</f>
        <v>1</v>
      </c>
      <c r="C31" s="76"/>
      <c r="D31" s="76"/>
      <c r="E31" s="76"/>
      <c r="F31" s="76"/>
      <c r="G31" s="76"/>
    </row>
    <row r="32">
      <c r="A32" s="83" t="s">
        <v>118</v>
      </c>
      <c r="B32" s="84">
        <f>COUNTIF(Cleaned_Data!$K$2:$K$200,A32)</f>
        <v>2</v>
      </c>
      <c r="C32" s="76"/>
      <c r="D32" s="76"/>
      <c r="E32" s="76"/>
      <c r="F32" s="76"/>
      <c r="G32" s="76"/>
    </row>
    <row r="33">
      <c r="A33" s="83" t="s">
        <v>71</v>
      </c>
      <c r="B33" s="84">
        <f>COUNTIF(Cleaned_Data!$K$2:$K$200,A33)</f>
        <v>1</v>
      </c>
      <c r="C33" s="76"/>
      <c r="D33" s="76"/>
      <c r="E33" s="76"/>
      <c r="F33" s="76"/>
      <c r="G33" s="76"/>
    </row>
    <row r="34">
      <c r="A34" s="83" t="s">
        <v>146</v>
      </c>
      <c r="B34" s="84">
        <f>COUNTIF(Cleaned_Data!$K$2:$K$200,A34)</f>
        <v>1</v>
      </c>
      <c r="C34" s="76"/>
      <c r="D34" s="76"/>
      <c r="E34" s="76"/>
      <c r="F34" s="76"/>
      <c r="G34" s="76"/>
    </row>
    <row r="35">
      <c r="A35" s="104">
        <v>3.0</v>
      </c>
      <c r="B35" s="87">
        <f>COUNTIF(Cleaned_Data!$K$2:$K$200,A35)</f>
        <v>0</v>
      </c>
      <c r="C35" s="76"/>
      <c r="D35" s="76"/>
      <c r="E35" s="76"/>
      <c r="F35" s="76"/>
      <c r="G35" s="76"/>
    </row>
  </sheetData>
  <mergeCells count="9">
    <mergeCell ref="A8:B9"/>
    <mergeCell ref="C8:D9"/>
    <mergeCell ref="E8:F9"/>
    <mergeCell ref="G8:H9"/>
    <mergeCell ref="A1:H2"/>
    <mergeCell ref="A7:B7"/>
    <mergeCell ref="C7:D7"/>
    <mergeCell ref="E7:F7"/>
    <mergeCell ref="G7:H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F1" s="67" t="s">
        <v>210</v>
      </c>
      <c r="G1" s="4"/>
      <c r="H1" s="4"/>
      <c r="I1" s="4"/>
      <c r="J1" s="4"/>
      <c r="K1" s="5"/>
    </row>
    <row r="2">
      <c r="F2" s="6"/>
      <c r="G2" s="7"/>
      <c r="H2" s="7"/>
      <c r="I2" s="7"/>
      <c r="J2" s="7"/>
      <c r="K2" s="8"/>
    </row>
  </sheetData>
  <mergeCells count="1">
    <mergeCell ref="F1:K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44.88"/>
    <col customWidth="1" min="3" max="3" width="57.75"/>
    <col customWidth="1" min="4" max="4" width="71.5"/>
  </cols>
  <sheetData>
    <row r="1">
      <c r="A1" s="105" t="s">
        <v>211</v>
      </c>
    </row>
    <row r="4">
      <c r="A4" s="106" t="s">
        <v>212</v>
      </c>
      <c r="B4" s="106" t="s">
        <v>213</v>
      </c>
      <c r="C4" s="106" t="s">
        <v>214</v>
      </c>
      <c r="D4" s="106" t="s">
        <v>32</v>
      </c>
    </row>
    <row r="5">
      <c r="A5" s="107" t="s">
        <v>215</v>
      </c>
      <c r="B5" s="107" t="s">
        <v>216</v>
      </c>
      <c r="C5" s="108" t="s">
        <v>45</v>
      </c>
      <c r="D5" s="107" t="s">
        <v>217</v>
      </c>
    </row>
    <row r="6">
      <c r="A6" s="107" t="s">
        <v>218</v>
      </c>
      <c r="B6" s="107" t="s">
        <v>219</v>
      </c>
      <c r="C6" s="108" t="s">
        <v>220</v>
      </c>
      <c r="D6" s="107" t="s">
        <v>221</v>
      </c>
    </row>
    <row r="7">
      <c r="A7" s="107" t="s">
        <v>222</v>
      </c>
      <c r="B7" s="107" t="s">
        <v>223</v>
      </c>
      <c r="C7" s="108" t="s">
        <v>224</v>
      </c>
      <c r="D7" s="107" t="s">
        <v>225</v>
      </c>
    </row>
    <row r="8">
      <c r="A8" s="107" t="s">
        <v>226</v>
      </c>
      <c r="B8" s="107" t="s">
        <v>227</v>
      </c>
      <c r="C8" s="108" t="s">
        <v>228</v>
      </c>
      <c r="D8" s="107" t="s">
        <v>229</v>
      </c>
    </row>
    <row r="9">
      <c r="A9" s="107" t="s">
        <v>230</v>
      </c>
      <c r="B9" s="107" t="s">
        <v>231</v>
      </c>
      <c r="C9" s="108" t="s">
        <v>149</v>
      </c>
      <c r="D9" s="107" t="s">
        <v>232</v>
      </c>
    </row>
    <row r="10">
      <c r="A10" s="107" t="s">
        <v>233</v>
      </c>
      <c r="B10" s="107" t="s">
        <v>231</v>
      </c>
      <c r="C10" s="108" t="s">
        <v>139</v>
      </c>
      <c r="D10" s="107" t="s">
        <v>234</v>
      </c>
    </row>
    <row r="11">
      <c r="A11" s="107" t="s">
        <v>235</v>
      </c>
      <c r="B11" s="107" t="s">
        <v>231</v>
      </c>
      <c r="C11" s="108" t="s">
        <v>130</v>
      </c>
      <c r="D11" s="107" t="s">
        <v>236</v>
      </c>
    </row>
    <row r="12">
      <c r="A12" s="107" t="s">
        <v>237</v>
      </c>
      <c r="B12" s="107" t="s">
        <v>231</v>
      </c>
      <c r="C12" s="108" t="s">
        <v>157</v>
      </c>
      <c r="D12" s="107" t="s">
        <v>238</v>
      </c>
    </row>
    <row r="13">
      <c r="A13" s="107" t="s">
        <v>239</v>
      </c>
      <c r="B13" s="107" t="s">
        <v>231</v>
      </c>
      <c r="C13" s="108" t="s">
        <v>188</v>
      </c>
      <c r="D13" s="107" t="s">
        <v>240</v>
      </c>
    </row>
  </sheetData>
  <mergeCells count="1">
    <mergeCell ref="A1:D2"/>
  </mergeCells>
  <drawing r:id="rId1"/>
</worksheet>
</file>